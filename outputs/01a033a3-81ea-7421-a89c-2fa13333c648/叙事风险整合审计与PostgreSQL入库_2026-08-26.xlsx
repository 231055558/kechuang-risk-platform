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cc7abebca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合总览" sheetId="1" r:id="R6410fdbea50645be"/>
    <x:sheet xmlns:r="http://schemas.openxmlformats.org/officeDocument/2006/relationships" name="验证结论" sheetId="2" r:id="Rcaf49c4876cd441e"/>
    <x:sheet xmlns:r="http://schemas.openxmlformats.org/officeDocument/2006/relationships" name="寒武纪口径对照" sheetId="3" r:id="R4d15d824a04a4387"/>
    <x:sheet xmlns:r="http://schemas.openxmlformats.org/officeDocument/2006/relationships" name="指标明细" sheetId="4" r:id="R346b075cee904e35"/>
    <x:sheet xmlns:r="http://schemas.openxmlformats.org/officeDocument/2006/relationships" name="覆盖矩阵" sheetId="5" r:id="Rdce982149d5e4245"/>
    <x:sheet xmlns:r="http://schemas.openxmlformats.org/officeDocument/2006/relationships" name="客观风险" sheetId="6" r:id="Rb9f69b7a53604338"/>
    <x:sheet xmlns:r="http://schemas.openxmlformats.org/officeDocument/2006/relationships" name="来源台账" sheetId="7" r:id="Raa761c78b81d4966"/>
    <x:sheet xmlns:r="http://schemas.openxmlformats.org/officeDocument/2006/relationships" name="指标来源链接" sheetId="8" r:id="Ref2392b216434cda"/>
    <x:sheet xmlns:r="http://schemas.openxmlformats.org/officeDocument/2006/relationships" name="Ego验证" sheetId="9" r:id="R7f4317cf9b8d4d0c"/>
    <x:sheet xmlns:r="http://schemas.openxmlformats.org/officeDocument/2006/relationships" name="PostgreSQL导入" sheetId="10" r:id="R9ff6258bac5b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%"/>
    <x:numFmt numFmtId="202" formatCode="0.0000"/>
    <x:numFmt numFmtId="203" formatCode="0.000000"/>
    <x:numFmt numFmtId="204" formatCode="yyyy-mm-dd hh:mm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4E78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A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3" fontId="5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C00000"/>
      </x:font>
      <x:fill>
        <x:patternFill patternType="solid">
          <x:bgColor rgb="FFFCE4E4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625708d824f80" /><Relationship Type="http://schemas.openxmlformats.org/officeDocument/2006/relationships/theme" Target="/xl/theme/theme1.xml" Id="R4149b5ae5c824d13" /><Relationship Type="http://schemas.microsoft.com/office/2022/11/relationships/FeaturePropertyBag" Target="/xl/featurePropertyBag/featurePropertyBag.xml" Id="R16b3db6fcb6d412d" /><Relationship Type="http://schemas.openxmlformats.org/officeDocument/2006/relationships/sharedStrings" Target="/xl/sharedStrings.xml" Id="Refbfeec648e04789" /><Relationship Type="http://schemas.openxmlformats.org/officeDocument/2006/relationships/worksheet" Target="/xl/worksheets/sheet1.xml" Id="R6410fdbea50645be" /><Relationship Type="http://schemas.openxmlformats.org/officeDocument/2006/relationships/worksheet" Target="/xl/worksheets/sheet2.xml" Id="Rcaf49c4876cd441e" /><Relationship Type="http://schemas.openxmlformats.org/officeDocument/2006/relationships/worksheet" Target="/xl/worksheets/sheet3.xml" Id="R4d15d824a04a4387" /><Relationship Type="http://schemas.openxmlformats.org/officeDocument/2006/relationships/worksheet" Target="/xl/worksheets/sheet4.xml" Id="R346b075cee904e35" /><Relationship Type="http://schemas.openxmlformats.org/officeDocument/2006/relationships/worksheet" Target="/xl/worksheets/sheet5.xml" Id="Rdce982149d5e4245" /><Relationship Type="http://schemas.openxmlformats.org/officeDocument/2006/relationships/worksheet" Target="/xl/worksheets/sheet6.xml" Id="Rb9f69b7a53604338" /><Relationship Type="http://schemas.openxmlformats.org/officeDocument/2006/relationships/worksheet" Target="/xl/worksheets/sheet7.xml" Id="Raa761c78b81d4966" /><Relationship Type="http://schemas.openxmlformats.org/officeDocument/2006/relationships/worksheet" Target="/xl/worksheets/sheet8.xml" Id="Ref2392b216434cda" /><Relationship Type="http://schemas.openxmlformats.org/officeDocument/2006/relationships/worksheet" Target="/xl/worksheets/sheet9.xml" Id="R7f4317cf9b8d4d0c" /><Relationship Type="http://schemas.openxmlformats.org/officeDocument/2006/relationships/worksheet" Target="/xl/worksheets/sheet10.xml" Id="R9ff6258bac5b4886" /><Relationship Type="http://schemas.microsoft.com/office/2017/10/relationships/person" Target="/xl/persons/person.xml" Id="R9d576616e48644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Codex 叙事风险审计" id="{E16DA336-DA13-4AA8-885A-EEA9F8B75C3B}"/>
</xltc:personList>
</file>

<file path=xl/tables/table1.xml><?xml version="1.0" encoding="utf-8"?>
<x:table xmlns:x="http://schemas.openxmlformats.org/spreadsheetml/2006/main" id="1" name="tblIntegratedOverview" displayName="tblIntegratedOverview" ref="A6:P14" headerRowCount="1" totalsRowCount="0" totalsRowShown="0">
  <x:tableColumns count="16">
    <x:tableColumn id="1" name="评估范围"/>
    <x:tableColumn id="2" name="企业"/>
    <x:tableColumn id="3" name="样本角色"/>
    <x:tableColumn id="4" name="客观风险分"/>
    <x:tableColumn id="5" name="覆盖率"/>
    <x:tableColumn id="6" name="PDQI"/>
    <x:tableColumn id="7" name="PDQI口径"/>
    <x:tableColumn id="8" name="ITAG"/>
    <x:tableColumn id="9" name="ITAG口径"/>
    <x:tableColumn id="10" name="TONE"/>
    <x:tableColumn id="11" name="TONE口径"/>
    <x:tableColumn id="12" name="联合等级"/>
    <x:tableColumn id="13" name="验证状态"/>
    <x:tableColumn id="14" name="可评分指标数"/>
    <x:tableColumn id="15" name="不可用项数"/>
    <x:tableColumn id="16" name="结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AuditFindings" displayName="tblAuditFindings" ref="A4:I11" headerRowCount="1" totalsRowCount="0" totalsRowShown="0">
  <x:tableColumns count="9">
    <x:tableColumn id="1" name="发现ID"/>
    <x:tableColumn id="2" name="范围"/>
    <x:tableColumn id="3" name="企业"/>
    <x:tableColumn id="4" name="严重度"/>
    <x:tableColumn id="5" name="状态"/>
    <x:tableColumn id="6" name="标题"/>
    <x:tableColumn id="7" name="详细说明"/>
    <x:tableColumn id="8" name="评分影响"/>
    <x:tableColumn id="9" name="建议动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ambriconVariants" displayName="tblCambriconVariants" ref="A4:J14" headerRowCount="1" totalsRowCount="0" totalsRowShown="0">
  <x:tableColumns count="10">
    <x:tableColumn id="1" name="指标"/>
    <x:tableColumn id="2" name="评估范围"/>
    <x:tableColumn id="3" name="版本/口径"/>
    <x:tableColumn id="4" name="Raw值"/>
    <x:tableColumn id="5" name="Validated值"/>
    <x:tableColumn id="6" name="Raw-Validated"/>
    <x:tableColumn id="7" name="评分状态"/>
    <x:tableColumn id="8" name="来源/证据"/>
    <x:tableColumn id="9" name="验证结论"/>
    <x:tableColumn id="10" name="限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NormalizedMetrics" displayName="tblNormalizedMetrics" ref="A4:Q115" headerRowCount="1" totalsRowCount="0" totalsRowShown="0">
  <x:tableColumns count="17">
    <x:tableColumn id="1" name="评估范围"/>
    <x:tableColumn id="2" name="企业"/>
    <x:tableColumn id="3" name="指标"/>
    <x:tableColumn id="4" name="度量"/>
    <x:tableColumn id="5" name="版本/口径"/>
    <x:tableColumn id="6" name="Raw值"/>
    <x:tableColumn id="7" name="Validated值"/>
    <x:tableColumn id="8" name="单位"/>
    <x:tableColumn id="9" name="原状态"/>
    <x:tableColumn id="10" name="验证状态"/>
    <x:tableColumn id="11" name="置信度"/>
    <x:tableColumn id="12" name="置信等级"/>
    <x:tableColumn id="13" name="公式"/>
    <x:tableColumn id="14" name="截止日"/>
    <x:tableColumn id="15" name="可评分"/>
    <x:tableColumn id="16" name="指标ID"/>
    <x:tableColumn id="17" name="评分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overage" displayName="tblCoverage" ref="A4:K20" headerRowCount="1" totalsRowCount="0" totalsRowShown="0">
  <x:tableColumns count="11">
    <x:tableColumn id="1" name="评估范围"/>
    <x:tableColumn id="2" name="企业"/>
    <x:tableColumn id="3" name="指标"/>
    <x:tableColumn id="4" name="覆盖状态"/>
    <x:tableColumn id="5" name="原定义可用"/>
    <x:tableColumn id="6" name="文档方法可用"/>
    <x:tableColumn id="7" name="置信度"/>
    <x:tableColumn id="8" name="置信等级"/>
    <x:tableColumn id="9" name="观测数"/>
    <x:tableColumn id="10" name="数值观测数"/>
    <x:tableColumn id="11" name="限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ObjectiveRisk" displayName="tblObjectiveRisk" ref="A4:M76" headerRowCount="1" totalsRowCount="0" totalsRowShown="0">
  <x:tableColumns count="13">
    <x:tableColumn id="1" name="企业"/>
    <x:tableColumn id="2" name="证券代码"/>
    <x:tableColumn id="3" name="客观总分"/>
    <x:tableColumn id="4" name="覆盖率"/>
    <x:tableColumn id="5" name="指标"/>
    <x:tableColumn id="6" name="指标名称"/>
    <x:tableColumn id="7" name="原始值"/>
    <x:tableColumn id="8" name="原始单位"/>
    <x:tableColumn id="9" name="风险百分位"/>
    <x:tableColumn id="10" name="指标风险分"/>
    <x:tableColumn id="11" name="样本量"/>
    <x:tableColumn id="12" name="状态"/>
    <x:tableColumn id="13" name="限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Sources" displayName="tblSources" ref="A4:R546" headerRowCount="1" totalsRowCount="0" totalsRowShown="0">
  <x:tableColumns count="18">
    <x:tableColumn id="1" name="评估范围"/>
    <x:tableColumn id="2" name="来源ID"/>
    <x:tableColumn id="3" name="企业"/>
    <x:tableColumn id="4" name="渠道"/>
    <x:tableColumn id="5" name="标题"/>
    <x:tableColumn id="6" name="机构/媒体"/>
    <x:tableColumn id="7" name="规范化媒体"/>
    <x:tableColumn id="8" name="作者"/>
    <x:tableColumn id="9" name="发布日期"/>
    <x:tableColumn id="10" name="原URL"/>
    <x:tableColumn id="11" name="验证URL"/>
    <x:tableColumn id="12" name="本地路径"/>
    <x:tableColumn id="13" name="SHA256"/>
    <x:tableColumn id="14" name="有效词数"/>
    <x:tableColumn id="15" name="证据角色"/>
    <x:tableColumn id="16" name="正式可用"/>
    <x:tableColumn id="17" name="原始出现次数"/>
    <x:tableColumn id="18" name="验证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MetricSourceLinks" displayName="tblMetricSourceLinks" ref="A4:F165" headerRowCount="1" totalsRowCount="0" totalsRowShown="0">
  <x:tableColumns count="6">
    <x:tableColumn id="1" name="指标ID"/>
    <x:tableColumn id="2" name="来源Key"/>
    <x:tableColumn id="3" name="来源ID"/>
    <x:tableColumn id="4" name="企业"/>
    <x:tableColumn id="5" name="原始引用次数"/>
    <x:tableColumn id="6" name="重复提示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EgoValidations" displayName="tblEgoValidations" ref="A4:H22" headerRowCount="1" totalsRowCount="0" totalsRowShown="0">
  <x:tableColumns count="8">
    <x:tableColumn id="1" name="验证ID"/>
    <x:tableColumn id="2" name="来源ID"/>
    <x:tableColumn id="3" name="验证类型"/>
    <x:tableColumn id="4" name="状态"/>
    <x:tableColumn id="5" name="检查时间"/>
    <x:tableColumn id="6" name="URL"/>
    <x:tableColumn id="7" name="页面/接口结果"/>
    <x:tableColumn id="8" name="评分影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b4c78a327741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db67e8949a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e624cae2fa43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164b71e3a947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dce7bbacab4d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4bb9eeeeac545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84a50617d0a40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18cc30f20c145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0b930cb5a7946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1" hidden="0" customWidth="1"/>
    <x:col min="5" max="5" width="9" hidden="0" customWidth="1"/>
    <x:col min="6" max="6" width="10" hidden="0" customWidth="1"/>
    <x:col min="7" max="7" width="15" hidden="0" customWidth="1"/>
    <x:col min="8" max="8" width="10" hidden="0" customWidth="1"/>
    <x:col min="9" max="9" width="15" hidden="0" customWidth="1"/>
    <x:col min="10" max="10" width="10" hidden="0" customWidth="1"/>
    <x:col min="11" max="11" width="17" hidden="0" customWidth="1"/>
    <x:col min="12" max="12" width="11" hidden="0" customWidth="1"/>
    <x:col min="13" max="13" width="20" hidden="0" customWidth="1"/>
    <x:col min="14" max="14" width="12" hidden="0" customWidth="1"/>
    <x:col min="15" max="15" width="11" hidden="0" customWidth="1"/>
    <x:col min="16" max="16" width="42" hidden="0" customWidth="1"/>
  </x:cols>
  <x:sheetData>
    <x:row r="1" ht="34" customHeight="1">
      <x:c r="A1" s="3" t="str">
        <x:v>叙事风险整合审计与 PostgreSQL 入库</x:v>
      </x:c>
      <x:c r="B1" s="3" t="str">
        <x:v>叙事风险整合审计与 PostgreSQL 入库</x:v>
      </x:c>
      <x:c r="C1" s="3" t="str">
        <x:v>叙事风险整合审计与 PostgreSQL 入库</x:v>
      </x:c>
      <x:c r="D1" s="3" t="str">
        <x:v>叙事风险整合审计与 PostgreSQL 入库</x:v>
      </x:c>
      <x:c r="E1" s="3" t="str">
        <x:v>叙事风险整合审计与 PostgreSQL 入库</x:v>
      </x:c>
      <x:c r="F1" s="3" t="str">
        <x:v>叙事风险整合审计与 PostgreSQL 入库</x:v>
      </x:c>
      <x:c r="G1" s="3" t="str">
        <x:v>叙事风险整合审计与 PostgreSQL 入库</x:v>
      </x:c>
      <x:c r="H1" s="3" t="str">
        <x:v>叙事风险整合审计与 PostgreSQL 入库</x:v>
      </x:c>
      <x:c r="I1" s="3" t="str">
        <x:v>叙事风险整合审计与 PostgreSQL 入库</x:v>
      </x:c>
      <x:c r="J1" s="3" t="str">
        <x:v>叙事风险整合审计与 PostgreSQL 入库</x:v>
      </x:c>
      <x:c r="K1" s="3" t="str">
        <x:v>叙事风险整合审计与 PostgreSQL 入库</x:v>
      </x:c>
      <x:c r="L1" s="3" t="str">
        <x:v>叙事风险整合审计与 PostgreSQL 入库</x:v>
      </x:c>
      <x:c r="M1" s="3" t="str">
        <x:v>叙事风险整合审计与 PostgreSQL 入库</x:v>
      </x:c>
      <x:c r="N1" s="3" t="str">
        <x:v>叙事风险整合审计与 PostgreSQL 入库</x:v>
      </x:c>
      <x:c r="O1" s="3" t="str">
        <x:v>叙事风险整合审计与 PostgreSQL 入库</x:v>
      </x:c>
      <x:c r="P1" s="3" t="str">
        <x:v>叙事风险整合审计与 PostgreSQL 入库</x:v>
      </x:c>
    </x:row>
    <x:row r="2" ht="34" customHeight="1">
      <x:c r="A2" s="3" t="str">
        <x:v>叙事风险整合审计与 PostgreSQL 入库</x:v>
      </x:c>
      <x:c r="B2" s="3" t="str">
        <x:v>叙事风险整合审计与 PostgreSQL 入库</x:v>
      </x:c>
      <x:c r="C2" s="3" t="str">
        <x:v>叙事风险整合审计与 PostgreSQL 入库</x:v>
      </x:c>
      <x:c r="D2" s="3" t="str">
        <x:v>叙事风险整合审计与 PostgreSQL 入库</x:v>
      </x:c>
      <x:c r="E2" s="3" t="str">
        <x:v>叙事风险整合审计与 PostgreSQL 入库</x:v>
      </x:c>
      <x:c r="F2" s="3" t="str">
        <x:v>叙事风险整合审计与 PostgreSQL 入库</x:v>
      </x:c>
      <x:c r="G2" s="3" t="str">
        <x:v>叙事风险整合审计与 PostgreSQL 入库</x:v>
      </x:c>
      <x:c r="H2" s="3" t="str">
        <x:v>叙事风险整合审计与 PostgreSQL 入库</x:v>
      </x:c>
      <x:c r="I2" s="3" t="str">
        <x:v>叙事风险整合审计与 PostgreSQL 入库</x:v>
      </x:c>
      <x:c r="J2" s="3" t="str">
        <x:v>叙事风险整合审计与 PostgreSQL 入库</x:v>
      </x:c>
      <x:c r="K2" s="3" t="str">
        <x:v>叙事风险整合审计与 PostgreSQL 入库</x:v>
      </x:c>
      <x:c r="L2" s="3" t="str">
        <x:v>叙事风险整合审计与 PostgreSQL 入库</x:v>
      </x:c>
      <x:c r="M2" s="3" t="str">
        <x:v>叙事风险整合审计与 PostgreSQL 入库</x:v>
      </x:c>
      <x:c r="N2" s="3" t="str">
        <x:v>叙事风险整合审计与 PostgreSQL 入库</x:v>
      </x:c>
      <x:c r="O2" s="3" t="str">
        <x:v>叙事风险整合审计与 PostgreSQL 入库</x:v>
      </x:c>
      <x:c r="P2" s="3" t="str">
        <x:v>叙事风险整合审计与 PostgreSQL 入库</x:v>
      </x:c>
    </x:row>
    <x:row r="3" ht="30" customHeight="1">
      <x:c r="A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B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C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D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E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F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G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H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I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J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K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L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M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N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O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  <x:c r="P3" s="6" t="str">
        <x:v>整合两套不同样本：客观四企业（寒武纪、燧原、华微、恒瑞）与R01–R04审计四企业（寒武纪、左江、芯驰、百利天恒）。仅寒武纪重合，合计7家；正式值、工程代理与缺失不混写。本表不构成投资建议或监管认定。</x:v>
      </x:c>
    </x:row>
    <x:row r="5">
      <x:c r="A5" s="9" t="str">
        <x:v>样本与评估结果（可评分指标数、不可用项数由“指标明细”公式汇总）</x:v>
      </x:c>
      <x:c r="B5" s="9" t="str">
        <x:v>样本与评估结果（可评分指标数、不可用项数由“指标明细”公式汇总）</x:v>
      </x:c>
      <x:c r="C5" s="9" t="str">
        <x:v>样本与评估结果（可评分指标数、不可用项数由“指标明细”公式汇总）</x:v>
      </x:c>
      <x:c r="D5" s="9" t="str">
        <x:v>样本与评估结果（可评分指标数、不可用项数由“指标明细”公式汇总）</x:v>
      </x:c>
      <x:c r="E5" s="9" t="str">
        <x:v>样本与评估结果（可评分指标数、不可用项数由“指标明细”公式汇总）</x:v>
      </x:c>
      <x:c r="F5" s="9" t="str">
        <x:v>样本与评估结果（可评分指标数、不可用项数由“指标明细”公式汇总）</x:v>
      </x:c>
      <x:c r="G5" s="9" t="str">
        <x:v>样本与评估结果（可评分指标数、不可用项数由“指标明细”公式汇总）</x:v>
      </x:c>
      <x:c r="H5" s="9" t="str">
        <x:v>样本与评估结果（可评分指标数、不可用项数由“指标明细”公式汇总）</x:v>
      </x:c>
      <x:c r="I5" s="9" t="str">
        <x:v>样本与评估结果（可评分指标数、不可用项数由“指标明细”公式汇总）</x:v>
      </x:c>
      <x:c r="J5" s="9" t="str">
        <x:v>样本与评估结果（可评分指标数、不可用项数由“指标明细”公式汇总）</x:v>
      </x:c>
      <x:c r="K5" s="9" t="str">
        <x:v>样本与评估结果（可评分指标数、不可用项数由“指标明细”公式汇总）</x:v>
      </x:c>
      <x:c r="L5" s="9" t="str">
        <x:v>样本与评估结果（可评分指标数、不可用项数由“指标明细”公式汇总）</x:v>
      </x:c>
      <x:c r="M5" s="9" t="str">
        <x:v>样本与评估结果（可评分指标数、不可用项数由“指标明细”公式汇总）</x:v>
      </x:c>
      <x:c r="N5" s="9" t="str">
        <x:v>样本与评估结果（可评分指标数、不可用项数由“指标明细”公式汇总）</x:v>
      </x:c>
      <x:c r="O5" s="9" t="str">
        <x:v>样本与评估结果（可评分指标数、不可用项数由“指标明细”公式汇总）</x:v>
      </x:c>
      <x:c r="P5" s="9" t="str">
        <x:v>样本与评估结果（可评分指标数、不可用项数由“指标明细”公式汇总）</x:v>
      </x:c>
    </x:row>
    <x:row r="6" ht="15" hidden="0" customHeight="1">
      <x:c r="A6" s="15" t="str">
        <x:v>评估范围</x:v>
      </x:c>
      <x:c r="B6" s="15" t="str">
        <x:v>企业</x:v>
      </x:c>
      <x:c r="C6" s="15" t="str">
        <x:v>样本角色</x:v>
      </x:c>
      <x:c r="D6" s="15" t="str">
        <x:v>客观风险分</x:v>
      </x:c>
      <x:c r="E6" s="15" t="str">
        <x:v>覆盖率</x:v>
      </x:c>
      <x:c r="F6" s="15" t="str">
        <x:v>PDQI</x:v>
      </x:c>
      <x:c r="G6" s="15" t="str">
        <x:v>PDQI口径</x:v>
      </x:c>
      <x:c r="H6" s="15" t="str">
        <x:v>ITAG</x:v>
      </x:c>
      <x:c r="I6" s="15" t="str">
        <x:v>ITAG口径</x:v>
      </x:c>
      <x:c r="J6" s="15" t="str">
        <x:v>TONE</x:v>
      </x:c>
      <x:c r="K6" s="15" t="str">
        <x:v>TONE口径</x:v>
      </x:c>
      <x:c r="L6" s="15" t="str">
        <x:v>联合等级</x:v>
      </x:c>
      <x:c r="M6" s="15" t="str">
        <x:v>验证状态</x:v>
      </x:c>
      <x:c r="N6" s="15" t="str">
        <x:v>可评分指标数</x:v>
      </x:c>
      <x:c r="O6" s="15" t="str">
        <x:v>不可用项数</x:v>
      </x:c>
      <x:c r="P6" s="15" t="str">
        <x:v>结论</x:v>
      </x:c>
    </x:row>
    <x:row r="7" ht="15" hidden="0" customHeight="1">
      <x:c r="A7" s="19" t="str">
        <x:v>客观四企</x:v>
      </x:c>
      <x:c r="B7" s="19" t="str">
        <x:v>寒武纪</x:v>
      </x:c>
      <x:c r="C7" s="19" t="str">
        <x:v>目标观察</x:v>
      </x:c>
      <x:c r="D7" s="20" t="n">
        <x:v>47.27</x:v>
      </x:c>
      <x:c r="E7" s="21" t="n">
        <x:v>0.8889</x:v>
      </x:c>
      <x:c r="F7" s="22" t="n">
        <x:v>0.5183147695372634</x:v>
      </x:c>
      <x:c r="G7" s="22" t="str">
        <x:v>PDQI-lite</x:v>
      </x:c>
      <x:c r="H7" s="22" t="n">
        <x:v>-3.2417630436967784</x:v>
      </x:c>
      <x:c r="I7" s="22" t="str">
        <x:v>累计专利代理</x:v>
      </x:c>
      <x:c r="J7" s="22" t="n">
        <x:v>0.7798165137614679</x:v>
      </x:c>
      <x:c r="K7" s="19" t="str">
        <x:v>旧版43条（被替代）</x:v>
      </x:c>
      <x:c r="L7" s="19" t="str">
        <x:v>中</x:v>
      </x:c>
      <x:c r="M7" s="19" t="str">
        <x:v>客观已验证/叙事分版</x:v>
      </x:c>
      <x:c r="N7" s="19" t="n">
        <x:f>COUNTIFS('指标明细'!$A$5:$A$115,A7,'指标明细'!$B$5:$B$115,B7,'指标明细'!$O$5:$O$115,TRUE)</x:f>
        <x:v>0</x:v>
      </x:c>
      <x:c r="O7" s="19" t="n">
        <x:f>COUNTIFS('指标明细'!$A$5:$A$115,A7,'指标明细'!$B$5:$B$115,B7,'指标明细'!$Q$5:$Q$115,"不可评分")</x:f>
        <x:v>2</x:v>
      </x:c>
      <x:c r="P7" s="19" t="str">
        <x:v>增长兑现强，但诉讼、出口约束和人员关联暴露仍需持续核验</x:v>
      </x:c>
    </x:row>
    <x:row r="8" ht="15" hidden="0" customHeight="1">
      <x:c r="A8" s="19" t="str">
        <x:v>客观四企</x:v>
      </x:c>
      <x:c r="B8" s="19" t="str">
        <x:v>燧原科技</x:v>
      </x:c>
      <x:c r="C8" s="19" t="str">
        <x:v>IPO前未上市</x:v>
      </x:c>
      <x:c r="D8" s="20" t="n">
        <x:v>46.75</x:v>
      </x:c>
      <x:c r="E8" s="21" t="n">
        <x:v>0.5</x:v>
      </x:c>
      <x:c r="F8" s="22" t="n">
        <x:v>0.5512518244077691</x:v>
      </x:c>
      <x:c r="G8" s="22" t="str">
        <x:v>PDQI-lite</x:v>
      </x:c>
      <x:c r="H8" s="22" t="n">
        <x:v>-1.1339136796482556</x:v>
      </x:c>
      <x:c r="I8" s="22" t="str">
        <x:v>累计专利代理</x:v>
      </x:c>
      <x:c r="J8" s="22"/>
      <x:c r="K8" s="19" t="str">
        <x:v>旧版QA筛选</x:v>
      </x:c>
      <x:c r="L8" s="19" t="str">
        <x:v>中高</x:v>
      </x:c>
      <x:c r="M8" s="19" t="str">
        <x:v>条件可用</x:v>
      </x:c>
      <x:c r="N8" s="19" t="n">
        <x:f>COUNTIFS('指标明细'!$A$5:$A$115,A8,'指标明细'!$B$5:$B$115,B8,'指标明细'!$O$5:$O$115,TRUE)</x:f>
        <x:v>0</x:v>
      </x:c>
      <x:c r="O8" s="19" t="n">
        <x:f>COUNTIFS('指标明细'!$A$5:$A$115,A8,'指标明细'!$B$5:$B$115,B8,'指标明细'!$Q$5:$Q$115,"不可评分")</x:f>
        <x:v>9</x:v>
      </x:c>
      <x:c r="P8" s="19" t="str">
        <x:v>技术与研发投入强；负经营现金流和客户集中构成主要兑现风险</x:v>
      </x:c>
    </x:row>
    <x:row r="9" ht="15" hidden="0" customHeight="1">
      <x:c r="A9" s="19" t="str">
        <x:v>客观四企</x:v>
      </x:c>
      <x:c r="B9" s="19" t="str">
        <x:v>恒瑞医药</x:v>
      </x:c>
      <x:c r="C9" s="19" t="str">
        <x:v>跨行业对照</x:v>
      </x:c>
      <x:c r="D9" s="20" t="n">
        <x:v>41.15</x:v>
      </x:c>
      <x:c r="E9" s="21" t="n">
        <x:v>0.3889</x:v>
      </x:c>
      <x:c r="F9" s="22" t="n">
        <x:v>0.5223492335807257</x:v>
      </x:c>
      <x:c r="G9" s="22" t="str">
        <x:v>PDQI-lite</x:v>
      </x:c>
      <x:c r="H9" s="22" t="n">
        <x:v>-3.948441712784252</x:v>
      </x:c>
      <x:c r="I9" s="22" t="str">
        <x:v>累计专利代理</x:v>
      </x:c>
      <x:c r="J9" s="22" t="n">
        <x:v>0.43529411764705883</x:v>
      </x:c>
      <x:c r="K9" s="19" t="str">
        <x:v>旧版QA筛选</x:v>
      </x:c>
      <x:c r="L9" s="19" t="str">
        <x:v>中低</x:v>
      </x:c>
      <x:c r="M9" s="19" t="str">
        <x:v>条件可用</x:v>
      </x:c>
      <x:c r="N9" s="19" t="n">
        <x:f>COUNTIFS('指标明细'!$A$5:$A$115,A9,'指标明细'!$B$5:$B$115,B9,'指标明细'!$O$5:$O$115,TRUE)</x:f>
        <x:v>0</x:v>
      </x:c>
      <x:c r="O9" s="19" t="n">
        <x:f>COUNTIFS('指标明细'!$A$5:$A$115,A9,'指标明细'!$B$5:$B$115,B9,'指标明细'!$Q$5:$Q$115,"不可评分")</x:f>
        <x:v>11</x:v>
      </x:c>
      <x:c r="P9" s="19" t="str">
        <x:v>研发与商业化形成兑现链；需补临床失败事件库和医药专用词典</x:v>
      </x:c>
    </x:row>
    <x:row r="10" ht="15" hidden="0" customHeight="1">
      <x:c r="A10" s="19" t="str">
        <x:v>客观四企</x:v>
      </x:c>
      <x:c r="B10" s="19" t="str">
        <x:v>华微电子</x:v>
      </x:c>
      <x:c r="C10" s="19" t="str">
        <x:v>重大风险正样本</x:v>
      </x:c>
      <x:c r="D10" s="20" t="n">
        <x:v>61.83</x:v>
      </x:c>
      <x:c r="E10" s="21" t="n">
        <x:v>0.4444</x:v>
      </x:c>
      <x:c r="F10" s="22" t="n">
        <x:v>0.30926323763955343</x:v>
      </x:c>
      <x:c r="G10" s="22" t="str">
        <x:v>PDQI-lite</x:v>
      </x:c>
      <x:c r="H10" s="22" t="n">
        <x:v>-1.2846179988851185</x:v>
      </x:c>
      <x:c r="I10" s="22" t="str">
        <x:v>累计专利代理</x:v>
      </x:c>
      <x:c r="J10" s="22"/>
      <x:c r="K10" s="19" t="str">
        <x:v>旧版QA筛选</x:v>
      </x:c>
      <x:c r="L10" s="19" t="str">
        <x:v>高</x:v>
      </x:c>
      <x:c r="M10" s="19" t="str">
        <x:v>条件可用</x:v>
      </x:c>
      <x:c r="N10" s="19" t="n">
        <x:f>COUNTIFS('指标明细'!$A$5:$A$115,A10,'指标明细'!$B$5:$B$115,B10,'指标明细'!$O$5:$O$115,TRUE)</x:f>
        <x:v>0</x:v>
      </x:c>
      <x:c r="O10" s="19" t="n">
        <x:f>COUNTIFS('指标明细'!$A$5:$A$115,A10,'指标明细'!$B$5:$B$115,B10,'指标明细'!$Q$5:$Q$115,"不可评分")</x:f>
        <x:v>10</x:v>
      </x:c>
      <x:c r="P10" s="19" t="str">
        <x:v>盲测期客观分与PDQI均触发；2025行政处罚完成事后验证</x:v>
      </x:c>
    </x:row>
    <x:row r="11" ht="75.5999984741211" hidden="0" customHeight="1">
      <x:c r="A11" s="19" t="str">
        <x:v>R01–R04审计</x:v>
      </x:c>
      <x:c r="B11" s="19" t="str">
        <x:v>百利天恒</x:v>
      </x:c>
      <x:c r="C11" s="19" t="str">
        <x:v>R01-R04固定窗口样本</x:v>
      </x:c>
      <x:c r="D11" s="20"/>
      <x:c r="E11" s="21"/>
      <x:c r="F11" s="22"/>
      <x:c r="G11" s="22" t="str">
        <x:v>正式PDQI</x:v>
      </x:c>
      <x:c r="H11" s="22" t="n">
        <x:v>-1.081654002347822</x:v>
      </x:c>
      <x:c r="I11" s="22" t="str">
        <x:v>年度发明申请</x:v>
      </x:c>
      <x:c r="J11" s="22"/>
      <x:c r="K11" s="19" t="str">
        <x:v>QA-only</x:v>
      </x:c>
      <x:c r="L11" s="19" t="str">
        <x:v>未合成</x:v>
      </x:c>
      <x:c r="M11" s="19" t="str">
        <x:v>证据包缺失</x:v>
      </x:c>
      <x:c r="N11" s="19" t="n">
        <x:f>COUNTIFS('指标明细'!$A$5:$A$115,A11,'指标明细'!$B$5:$B$115,B11,'指标明细'!$O$5:$O$115,TRUE)</x:f>
        <x:v>0</x:v>
      </x:c>
      <x:c r="O11" s="19" t="n">
        <x:f>COUNTIFS('指标明细'!$A$5:$A$115,A11,'指标明细'!$B$5:$B$115,B11,'指标明细'!$Q$5:$Q$115,"不可评分")</x:f>
        <x:v>2</x:v>
      </x:c>
      <x:c r="P11" s="19" t="str">
        <x:v>R01：ITAG=-1.082≤0，173项当年发明专利申请对创新叙事形成较强行动支撑；DTQ-基本面仍因互动渠道不完整而仅作代理。；R02：夸张性词密度差代理为0.400个百分点；媒体虽有多篇全文但规范化后主要来自单一媒体集团，故不升格为正式R02。；R03：四期相邻文本平均相似度0.229，稳定性风险代理约0.771；可能同时反映临床与授权里程碑快速演进。；R04：创新药知识产权收入占总营收84.35%，概念关联强；但主要是合作里程碑知识产权收入，不等同持续产品销售。</x:v>
      </x:c>
    </x:row>
    <x:row r="12" ht="64.80000305175781" hidden="0" customHeight="1">
      <x:c r="A12" s="19" t="str">
        <x:v>R01–R04审计</x:v>
      </x:c>
      <x:c r="B12" s="19" t="str">
        <x:v>寒武纪</x:v>
      </x:c>
      <x:c r="C12" s="19" t="str">
        <x:v>R01-R04固定窗口样本</x:v>
      </x:c>
      <x:c r="D12" s="20"/>
      <x:c r="E12" s="21"/>
      <x:c r="F12" s="22"/>
      <x:c r="G12" s="22" t="str">
        <x:v>正式PDQI</x:v>
      </x:c>
      <x:c r="H12" s="22" t="n">
        <x:v>-0.7697671615382826</x:v>
      </x:c>
      <x:c r="I12" s="22" t="str">
        <x:v>年度发明申请</x:v>
      </x:c>
      <x:c r="J12" s="22" t="n">
        <x:v>0.7560975609756098</x:v>
      </x:c>
      <x:c r="K12" s="19" t="str">
        <x:v>QA-only</x:v>
      </x:c>
      <x:c r="L12" s="19" t="str">
        <x:v>未合成</x:v>
      </x:c>
      <x:c r="M12" s="19" t="str">
        <x:v>重复媒体待重算</x:v>
      </x:c>
      <x:c r="N12" s="19" t="n">
        <x:f>COUNTIFS('指标明细'!$A$5:$A$115,A12,'指标明细'!$B$5:$B$115,B12,'指标明细'!$O$5:$O$115,TRUE)</x:f>
        <x:v>0</x:v>
      </x:c>
      <x:c r="O12" s="19" t="n">
        <x:f>COUNTIFS('指标明细'!$A$5:$A$115,A12,'指标明细'!$B$5:$B$115,B12,'指标明细'!$Q$5:$Q$115,"不可评分")</x:f>
        <x:v>3</x:v>
      </x:c>
      <x:c r="P12" s="19" t="str">
        <x:v>R01：ITAG=-0.770≤0，按文档方案二属于言行匹配或寡言多行；DTQ-基本面仅为代理，不据此下正式R01结论。；R02：固定全文样本的夸张性词密度差为0.083个百分点；绝对值较小，但词典差不等于事实一致。；R03：四期相邻文本平均相似度0.302，稳定性风险代理约0.698；三场TONE均为正面区间且波动标准差较低。；R04：AI芯片/智能芯片相关产品收入占比99.77%，概念与主营收入高度关联。</x:v>
      </x:c>
    </x:row>
    <x:row r="13" ht="64.80000305175781" hidden="0" customHeight="1">
      <x:c r="A13" s="19" t="str">
        <x:v>R01–R04审计</x:v>
      </x:c>
      <x:c r="B13" s="19" t="str">
        <x:v>芯驰科技</x:v>
      </x:c>
      <x:c r="C13" s="19" t="str">
        <x:v>R01-R04固定窗口样本</x:v>
      </x:c>
      <x:c r="D13" s="20"/>
      <x:c r="E13" s="21"/>
      <x:c r="F13" s="22"/>
      <x:c r="G13" s="22" t="str">
        <x:v>正式PDQI</x:v>
      </x:c>
      <x:c r="H13" s="22"/>
      <x:c r="I13" s="22" t="str">
        <x:v>年度发明申请</x:v>
      </x:c>
      <x:c r="J13" s="22"/>
      <x:c r="K13" s="19" t="str"/>
      <x:c r="L13" s="19" t="str">
        <x:v>未合成</x:v>
      </x:c>
      <x:c r="M13" s="19" t="str">
        <x:v>证据包缺失</x:v>
      </x:c>
      <x:c r="N13" s="19" t="n">
        <x:f>COUNTIFS('指标明细'!$A$5:$A$115,A13,'指标明细'!$B$5:$B$115,B13,'指标明细'!$O$5:$O$115,TRUE)</x:f>
        <x:v>0</x:v>
      </x:c>
      <x:c r="O13" s="19" t="n">
        <x:f>COUNTIFS('指标明细'!$A$5:$A$115,A13,'指标明细'!$B$5:$B$115,B13,'指标明细'!$Q$5:$Q$115,"不可评分")</x:f>
        <x:v>5</x:v>
      </x:c>
      <x:c r="P13" s="19" t="str">
        <x:v>R01：缺年度报告MD&amp;A、当年发明专利申请数、营收同比和互动平台季度全文，ITAG与原DTQ均不计算。；R02：固定窗口取得企业官网全文，但未取得满足规则的独立第三方评价与权威媒体全文，表述偏差保持null。；R03：四期官网资讯相邻相似度代理0.546，只反映宣传主题变化，不是正式报告稳定性。；R04：产品线可确认，但未公开分产品收入和总营收，车规芯片概念收入关联度保持null。</x:v>
      </x:c>
    </x:row>
    <x:row r="14" ht="86.4000015258789" hidden="0" customHeight="1">
      <x:c r="A14" s="19" t="str">
        <x:v>R01–R04审计</x:v>
      </x:c>
      <x:c r="B14" s="19" t="str">
        <x:v>左江科技</x:v>
      </x:c>
      <x:c r="C14" s="19" t="str">
        <x:v>R01-R04固定窗口样本</x:v>
      </x:c>
      <x:c r="D14" s="20"/>
      <x:c r="E14" s="21"/>
      <x:c r="F14" s="22"/>
      <x:c r="G14" s="22" t="str">
        <x:v>正式PDQI</x:v>
      </x:c>
      <x:c r="H14" s="22"/>
      <x:c r="I14" s="22" t="str">
        <x:v>年度发明申请</x:v>
      </x:c>
      <x:c r="J14" s="22"/>
      <x:c r="K14" s="19" t="str"/>
      <x:c r="L14" s="19" t="str">
        <x:v>未合成</x:v>
      </x:c>
      <x:c r="M14" s="19" t="str">
        <x:v>证据包缺失</x:v>
      </x:c>
      <x:c r="N14" s="19" t="n">
        <x:f>COUNTIFS('指标明细'!$A$5:$A$115,A14,'指标明细'!$B$5:$B$115,B14,'指标明细'!$O$5:$O$115,TRUE)</x:f>
        <x:v>0</x:v>
      </x:c>
      <x:c r="O14" s="19" t="n">
        <x:f>COUNTIFS('指标明细'!$A$5:$A$115,A14,'指标明细'!$B$5:$B$115,B14,'指标明细'!$Q$5:$Q$115,"不可评分")</x:f>
        <x:v>4</x:v>
      </x:c>
      <x:c r="P14" s="19" t="str">
        <x:v>R01：截至2023-11-30缺全量互动与媒体季度语料、缺当年发明专利申请数，R01不填数；但第二轮问询对5日交付、单价差异和商业实质的质疑构成严格事前高风险线索。；R02：夸张性词密度差代理为0.202个百分点；更关键的是公司DPU表述与交易所对商业实质的正式质疑存在方向性偏差。；R03：四期相邻文本平均相似度0.739；形式稳定不代表叙事真实，不能抵销问询函暴露的商业实质风险。；R04：被问询单笔DPU交易占前三季度营收37.39%，但交易商业实质被正式问询，不能将该比例视为已验证业务关联度。</x:v>
      </x:c>
    </x:row>
    <x:row r="17">
      <x:c r="A17" s="9" t="str">
        <x:v>关键审计结论</x:v>
      </x:c>
      <x:c r="B17" s="9" t="str">
        <x:v>关键审计结论</x:v>
      </x:c>
      <x:c r="C17" s="9" t="str">
        <x:v>关键审计结论</x:v>
      </x:c>
      <x:c r="D17" s="9" t="str">
        <x:v>关键审计结论</x:v>
      </x:c>
      <x:c r="E17" s="9" t="str">
        <x:v>关键审计结论</x:v>
      </x:c>
      <x:c r="F17" s="9" t="str">
        <x:v>关键审计结论</x:v>
      </x:c>
      <x:c r="G17" s="9" t="str">
        <x:v>关键审计结论</x:v>
      </x:c>
      <x:c r="H17" s="9" t="str">
        <x:v>关键审计结论</x:v>
      </x:c>
      <x:c r="I17" s="9" t="str">
        <x:v>入库结果</x:v>
      </x:c>
      <x:c r="J17" s="9" t="str">
        <x:v>入库结果</x:v>
      </x:c>
      <x:c r="K17" s="9" t="str">
        <x:v>入库结果</x:v>
      </x:c>
      <x:c r="L17" s="9" t="str">
        <x:v>入库结果</x:v>
      </x:c>
      <x:c r="M17" s="9" t="str">
        <x:v>入库结果</x:v>
      </x:c>
      <x:c r="N17" s="9" t="str">
        <x:v>入库结果</x:v>
      </x:c>
      <x:c r="O17" s="9" t="str">
        <x:v>入库结果</x:v>
      </x:c>
      <x:c r="P17" s="9" t="str">
        <x:v>入库结果</x:v>
      </x:c>
    </x:row>
    <x:row r="18">
      <x:c r="A18" s="27" t="str">
        <x:v>项目</x:v>
      </x:c>
      <x:c r="B18" s="27" t="str">
        <x:v>结果</x:v>
      </x:c>
      <x:c r="C18" s="27" t="str">
        <x:v>影响</x:v>
      </x:c>
      <x:c r="D18" s="27" t="str">
        <x:v>处理</x:v>
      </x:c>
      <x:c r="E18" s="27" t="str">
        <x:v>项目</x:v>
      </x:c>
      <x:c r="F18" s="27" t="str">
        <x:v>结果</x:v>
      </x:c>
      <x:c r="G18" s="27" t="str">
        <x:v>影响</x:v>
      </x:c>
      <x:c r="H18" s="27" t="str">
        <x:v>处理</x:v>
      </x:c>
      <x:c r="I18" s="27" t="str">
        <x:v>对象</x:v>
      </x:c>
      <x:c r="J18" s="27" t="str">
        <x:v>实际行数</x:v>
      </x:c>
      <x:c r="K18" s="27" t="str">
        <x:v>对象</x:v>
      </x:c>
      <x:c r="L18" s="27" t="str">
        <x:v>实际行数</x:v>
      </x:c>
      <x:c r="M18" s="27" t="str">
        <x:v>对象</x:v>
      </x:c>
      <x:c r="N18" s="27" t="str">
        <x:v>实际行数</x:v>
      </x:c>
      <x:c r="O18" s="27" t="str">
        <x:v>对象</x:v>
      </x:c>
      <x:c r="P18" s="27" t="str">
        <x:v>实际行数</x:v>
      </x:c>
    </x:row>
    <x:row r="19">
      <x:c r="A19" s="19" t="str">
        <x:v>语料行</x:v>
      </x:c>
      <x:c r="B19" s="19" t="n">
        <x:v>521</x:v>
      </x:c>
      <x:c r="C19" s="19" t="str">
        <x:v>原始输入</x:v>
      </x:c>
      <x:c r="D19" s="19" t="str">
        <x:v>保留</x:v>
      </x:c>
      <x:c r="E19" s="19" t="str">
        <x:v>唯一来源</x:v>
      </x:c>
      <x:c r="F19" s="19" t="n">
        <x:v>517</x:v>
      </x:c>
      <x:c r="G19" s="19" t="str">
        <x:v>3组重复ID</x:v>
      </x:c>
      <x:c r="H19" s="19" t="str">
        <x:v>去重建模</x:v>
      </x:c>
      <x:c r="I19" s="19" t="str">
        <x:v>scopes</x:v>
      </x:c>
      <x:c r="J19" s="19" t="n">
        <x:v>2</x:v>
      </x:c>
      <x:c r="K19" s="19" t="str">
        <x:v>companies</x:v>
      </x:c>
      <x:c r="L19" s="19" t="n">
        <x:v>7</x:v>
      </x:c>
      <x:c r="M19" s="19" t="str">
        <x:v>scope_companies</x:v>
      </x:c>
      <x:c r="N19" s="19" t="n">
        <x:v>8</x:v>
      </x:c>
      <x:c r="O19" s="19" t="str">
        <x:v>assessments</x:v>
      </x:c>
      <x:c r="P19" s="19" t="n">
        <x:v>8</x:v>
      </x:c>
    </x:row>
    <x:row r="20">
      <x:c r="A20" s="19" t="str">
        <x:v>寒武纪R01-DTQ</x:v>
      </x:c>
      <x:c r="B20" s="19" t="n">
        <x:v>-0.9402527717</x:v>
      </x:c>
      <x:c r="C20" s="19" t="str">
        <x:v>重复媒体加权</x:v>
      </x:c>
      <x:c r="D20" s="19" t="str">
        <x:v>validated置空</x:v>
      </x:c>
      <x:c r="E20" s="19" t="str">
        <x:v>寒武纪R02</x:v>
      </x:c>
      <x:c r="F20" s="19" t="n">
        <x:v>0.0008277364</x:v>
      </x:c>
      <x:c r="G20" s="19" t="str">
        <x:v>重复媒体加权</x:v>
      </x:c>
      <x:c r="H20" s="19" t="str">
        <x:v>validated置空</x:v>
      </x:c>
      <x:c r="I20" s="19" t="str">
        <x:v>sources</x:v>
      </x:c>
      <x:c r="J20" s="19" t="n">
        <x:v>542</x:v>
      </x:c>
      <x:c r="K20" s="19" t="str">
        <x:v>metrics</x:v>
      </x:c>
      <x:c r="L20" s="19" t="n">
        <x:v>111</x:v>
      </x:c>
      <x:c r="M20" s="19" t="str">
        <x:v>metric_source_links</x:v>
      </x:c>
      <x:c r="N20" s="19" t="n">
        <x:v>161</x:v>
      </x:c>
      <x:c r="O20" s="19" t="str">
        <x:v>coverage</x:v>
      </x:c>
      <x:c r="P20" s="19" t="n">
        <x:v>16</x:v>
      </x:c>
    </x:row>
    <x:row r="21">
      <x:c r="A21" s="19" t="str">
        <x:v>正式PDQI</x:v>
      </x:c>
      <x:c r="B21" s="19" t="str">
        <x:v>不可计算</x:v>
      </x:c>
      <x:c r="C21" s="19" t="str">
        <x:v>缺行业-年度IS极值</x:v>
      </x:c>
      <x:c r="D21" s="19" t="str">
        <x:v>与PDQI-lite分版</x:v>
      </x:c>
      <x:c r="E21" s="19" t="str">
        <x:v>旧TONE回答数</x:v>
      </x:c>
      <x:c r="F21" s="19" t="n">
        <x:v>43</x:v>
      </x:c>
      <x:c r="G21" s="19" t="str">
        <x:v>QA-only应为36</x:v>
      </x:c>
      <x:c r="H21" s="19" t="str">
        <x:v>旧值被替代</x:v>
      </x:c>
      <x:c r="I21" s="19" t="str">
        <x:v>events</x:v>
      </x:c>
      <x:c r="J21" s="19" t="n">
        <x:v>11</x:v>
      </x:c>
      <x:c r="K21" s="19" t="str">
        <x:v>audit_findings</x:v>
      </x:c>
      <x:c r="L21" s="19" t="n">
        <x:v>7</x:v>
      </x:c>
      <x:c r="M21" s="19" t="str">
        <x:v>browser_validations</x:v>
      </x:c>
      <x:c r="N21" s="19" t="n">
        <x:v>18</x:v>
      </x:c>
      <x:c r="O21" s="19" t="str">
        <x:v>migrations</x:v>
      </x:c>
      <x:c r="P21" s="19" t="n">
        <x:v>2</x:v>
      </x:c>
    </x:row>
    <x:row r="22">
      <x:c r="A22" s="19" t="str">
        <x:v>本地证据文件</x:v>
      </x:c>
      <x:c r="B22" s="19" t="str">
        <x:v>0/113可访问</x:v>
      </x:c>
      <x:c r="C22" s="19" t="str">
        <x:v>无法复核文本与哈希</x:v>
      </x:c>
      <x:c r="D22" s="19" t="str">
        <x:v>标记unverifiable</x:v>
      </x:c>
      <x:c r="E22" s="19" t="str">
        <x:v>公式复算</x:v>
      </x:c>
      <x:c r="F22" s="19" t="str">
        <x:v>11/11通过</x:v>
      </x:c>
      <x:c r="G22" s="19" t="str">
        <x:v>内部算式一致</x:v>
      </x:c>
      <x:c r="H22" s="19" t="str">
        <x:v>保留</x:v>
      </x:c>
      <x:c r="I22" s="19" t="str">
        <x:v>重复来源保护</x:v>
      </x:c>
      <x:c r="J22" s="19" t="n">
        <x:v>3</x:v>
      </x:c>
      <x:c r="K22" s="19" t="str">
        <x:v>无效化指标</x:v>
      </x:c>
      <x:c r="L22" s="19" t="n">
        <x:v>2</x:v>
      </x:c>
      <x:c r="M22" s="19" t="str">
        <x:v>正式PDQI缺失</x:v>
      </x:c>
      <x:c r="N22" s="19" t="n">
        <x:v>3</x:v>
      </x:c>
      <x:c r="O22" s="19" t="str">
        <x:v>导入幂等</x:v>
      </x:c>
      <x:c r="P22" s="19" t="str">
        <x:v>通过</x:v>
      </x:c>
    </x:row>
    <x:row r="23">
      <x:c r="A23" s="19" t="str">
        <x:v>样本数量</x:v>
      </x:c>
      <x:c r="B23" s="19" t="str">
        <x:v>7家/8条scope记录</x:v>
      </x:c>
      <x:c r="C23" s="19" t="str">
        <x:v>两套四企样本不同</x:v>
      </x:c>
      <x:c r="D23" s="19" t="str">
        <x:v>scope隔离</x:v>
      </x:c>
      <x:c r="E23" s="19" t="str">
        <x:v>Ego验证</x:v>
      </x:c>
      <x:c r="F23" s="19" t="n">
        <x:v>18</x:v>
      </x:c>
      <x:c r="G23" s="19" t="str">
        <x:v>路演/PDF/媒体</x:v>
      </x:c>
      <x:c r="H23" s="19" t="str">
        <x:v>写入数据库</x:v>
      </x:c>
      <x:c r="I23" s="19" t="str">
        <x:v>risk_data快照</x:v>
      </x:c>
      <x:c r="J23" s="19" t="str">
        <x:v>35表/3视图</x:v>
      </x:c>
      <x:c r="K23" s="19" t="str">
        <x:v>外键</x:v>
      </x:c>
      <x:c r="L23" s="19" t="n">
        <x:v>44</x:v>
      </x:c>
      <x:c r="M23" s="19" t="str">
        <x:v>数据版本</x:v>
      </x:c>
      <x:c r="N23" s="19" t="str">
        <x:v>2026-08-20</x:v>
      </x:c>
      <x:c r="O23" s="19" t="str">
        <x:v>状态</x:v>
      </x:c>
      <x:c r="P23" s="19" t="str">
        <x:v>未受影响</x:v>
      </x:c>
    </x:row>
  </x:sheetData>
  <x:mergeCells>
    <x:mergeCell ref="A1:P2"/>
    <x:mergeCell ref="A3:P3"/>
    <x:mergeCell ref="A5:P5"/>
    <x:mergeCell ref="A17:H17"/>
    <x:mergeCell ref="I17:P17"/>
  </x:mergeCells>
  <x:conditionalFormatting sqref="D7:D14">
    <x:cfRule type="colorScale" priority="1">
      <x:colorScale>
        <x:cfvo type="min"/>
        <x:cfvo type="percentile" val="50"/>
        <x:cfvo type="max"/>
        <x:color rgb="FFE2F0D9"/>
        <x:color rgb="FFFFF2CC"/>
        <x:color rgb="FFFCE4E4"/>
      </x:colorScale>
    </x:cfRule>
  </x:conditionalFormatting>
  <x:conditionalFormatting sqref="M7:M14">
    <x:cfRule type="containsText" dxfId="0" priority="2" operator="containsText" text="待重算"/>
    <x:cfRule type="containsText" dxfId="1" priority="3" operator="containsText" text="条件"/>
  </x:conditionalFormatting>
  <x:pageMargins left="0.7" right="0.7" top="0.75" bottom="0.75" header="0.3" footer="0.3"/>
  <x:tableParts count="1">
    <x:tablePart xmlns:r="http://schemas.openxmlformats.org/officeDocument/2006/relationships" r:id="R0cb4c78a327741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10" hidden="0" customWidth="1"/>
    <x:col min="5" max="5" width="26" hidden="0" customWidth="1"/>
    <x:col min="6" max="6" width="40" hidden="0" customWidth="1"/>
    <x:col min="7" max="7" width="78" hidden="0" customWidth="1"/>
    <x:col min="8" max="8" width="18" hidden="0" customWidth="1"/>
    <x:col min="9" max="9" width="52" hidden="0" customWidth="1"/>
  </x:cols>
  <x:sheetData>
    <x:row r="1" ht="34" customHeight="1">
      <x:c r="A1" s="3" t="str">
        <x:v>验证结论与整改状态</x:v>
      </x:c>
      <x:c r="B1" s="3" t="str">
        <x:v>验证结论与整改状态</x:v>
      </x:c>
      <x:c r="C1" s="3" t="str">
        <x:v>验证结论与整改状态</x:v>
      </x:c>
      <x:c r="D1" s="3" t="str">
        <x:v>验证结论与整改状态</x:v>
      </x:c>
      <x:c r="E1" s="3" t="str">
        <x:v>验证结论与整改状态</x:v>
      </x:c>
      <x:c r="F1" s="3" t="str">
        <x:v>验证结论与整改状态</x:v>
      </x:c>
      <x:c r="G1" s="3" t="str">
        <x:v>验证结论与整改状态</x:v>
      </x:c>
      <x:c r="H1" s="3" t="str">
        <x:v>验证结论与整改状态</x:v>
      </x:c>
      <x:c r="I1" s="3" t="str">
        <x:v>验证结论与整改状态</x:v>
      </x:c>
    </x:row>
    <x:row r="2" ht="34" customHeight="1">
      <x:c r="A2" s="3" t="str">
        <x:v>验证结论与整改状态</x:v>
      </x:c>
      <x:c r="B2" s="3" t="str">
        <x:v>验证结论与整改状态</x:v>
      </x:c>
      <x:c r="C2" s="3" t="str">
        <x:v>验证结论与整改状态</x:v>
      </x:c>
      <x:c r="D2" s="3" t="str">
        <x:v>验证结论与整改状态</x:v>
      </x:c>
      <x:c r="E2" s="3" t="str">
        <x:v>验证结论与整改状态</x:v>
      </x:c>
      <x:c r="F2" s="3" t="str">
        <x:v>验证结论与整改状态</x:v>
      </x:c>
      <x:c r="G2" s="3" t="str">
        <x:v>验证结论与整改状态</x:v>
      </x:c>
      <x:c r="H2" s="3" t="str">
        <x:v>验证结论与整改状态</x:v>
      </x:c>
      <x:c r="I2" s="3" t="str">
        <x:v>验证结论与整改状态</x:v>
      </x:c>
    </x:row>
    <x:row r="3" ht="30" customHeight="1">
      <x:c r="A3" s="6" t="str">
        <x:v>工作簿内部校验通过不等于证据链独立可复核；本页记录外部结构检查、Ego网页回查和版本化处置。高风险发现保留在PostgreSQL audit_findings表。 </x:v>
      </x:c>
      <x:c r="B3" s="6" t="str">
        <x:v>工作簿内部校验通过不等于证据链独立可复核；本页记录外部结构检查、Ego网页回查和版本化处置。高风险发现保留在PostgreSQL audit_findings表。 </x:v>
      </x:c>
      <x:c r="C3" s="6" t="str">
        <x:v>工作簿内部校验通过不等于证据链独立可复核；本页记录外部结构检查、Ego网页回查和版本化处置。高风险发现保留在PostgreSQL audit_findings表。 </x:v>
      </x:c>
      <x:c r="D3" s="6" t="str">
        <x:v>工作簿内部校验通过不等于证据链独立可复核；本页记录外部结构检查、Ego网页回查和版本化处置。高风险发现保留在PostgreSQL audit_findings表。 </x:v>
      </x:c>
      <x:c r="E3" s="6" t="str">
        <x:v>工作簿内部校验通过不等于证据链独立可复核；本页记录外部结构检查、Ego网页回查和版本化处置。高风险发现保留在PostgreSQL audit_findings表。 </x:v>
      </x:c>
      <x:c r="F3" s="6" t="str">
        <x:v>工作簿内部校验通过不等于证据链独立可复核；本页记录外部结构检查、Ego网页回查和版本化处置。高风险发现保留在PostgreSQL audit_findings表。 </x:v>
      </x:c>
      <x:c r="G3" s="6" t="str">
        <x:v>工作簿内部校验通过不等于证据链独立可复核；本页记录外部结构检查、Ego网页回查和版本化处置。高风险发现保留在PostgreSQL audit_findings表。 </x:v>
      </x:c>
      <x:c r="H3" s="6" t="str">
        <x:v>工作簿内部校验通过不等于证据链独立可复核；本页记录外部结构检查、Ego网页回查和版本化处置。高风险发现保留在PostgreSQL audit_findings表。 </x:v>
      </x:c>
      <x:c r="I3" s="6" t="str">
        <x:v>工作簿内部校验通过不等于证据链独立可复核；本页记录外部结构检查、Ego网页回查和版本化处置。高风险发现保留在PostgreSQL audit_findings表。 </x:v>
      </x:c>
    </x:row>
    <x:row r="4" ht="15" hidden="0" customHeight="1">
      <x:c r="A4" s="15" t="str">
        <x:v>发现ID</x:v>
      </x:c>
      <x:c r="B4" s="15" t="str">
        <x:v>范围</x:v>
      </x:c>
      <x:c r="C4" s="15" t="str">
        <x:v>企业</x:v>
      </x:c>
      <x:c r="D4" s="15" t="str">
        <x:v>严重度</x:v>
      </x:c>
      <x:c r="E4" s="15" t="str">
        <x:v>状态</x:v>
      </x:c>
      <x:c r="F4" s="15" t="str">
        <x:v>标题</x:v>
      </x:c>
      <x:c r="G4" s="15" t="str">
        <x:v>详细说明</x:v>
      </x:c>
      <x:c r="H4" s="15" t="str">
        <x:v>评分影响</x:v>
      </x:c>
      <x:c r="I4" s="15" t="str">
        <x:v>建议动作</x:v>
      </x:c>
    </x:row>
    <x:row r="5" ht="15" hidden="0" customHeight="1">
      <x:c r="A5" s="19" t="str">
        <x:v>NR-AUDIT-001</x:v>
      </x:c>
      <x:c r="B5" s="19" t="str">
        <x:v>R01–R04审计</x:v>
      </x:c>
      <x:c r="C5" s="19" t="str">
        <x:v>寒武纪</x:v>
      </x:c>
      <x:c r="D5" s="19" t="str">
        <x:v>high</x:v>
      </x:c>
      <x:c r="E5" s="19" t="str">
        <x:v>needs-review</x:v>
      </x:c>
      <x:c r="F5" s="19" t="str">
        <x:v>语料台账存在重复来源ID</x:v>
      </x:c>
      <x:c r="G5" s="19" t="str">
        <x:v>3 个来源ID出现重复；寒武纪R02的第三方有效词数包含重复文章加权。</x:v>
      </x:c>
      <x:c r="H5" s="19" t="str">
        <x:v>正式评分受限</x:v>
      </x:c>
      <x:c r="I5" s="19" t="str">
        <x:v>取得原始113文件后按source_id去重重算R01/R02</x:v>
      </x:c>
    </x:row>
    <x:row r="6" ht="15" hidden="0" customHeight="1">
      <x:c r="A6" s="19" t="str">
        <x:v>NR-AUDIT-002</x:v>
      </x:c>
      <x:c r="B6" s="19" t="str">
        <x:v>R01–R04审计</x:v>
      </x:c>
      <x:c r="C6" s="19" t="str"/>
      <x:c r="D6" s="19" t="str">
        <x:v>high</x:v>
      </x:c>
      <x:c r="E6" s="19" t="str">
        <x:v>unverifiable</x:v>
      </x:c>
      <x:c r="F6" s="19" t="str">
        <x:v>工作簿声明的本地证据包未随附件提供</x:v>
      </x:c>
      <x:c r="G6" s="19" t="str">
        <x:v>文件清单 113 项中 113 项在当前项目路径不可访问，无法独立复核SHA256与文本处理。</x:v>
      </x:c>
      <x:c r="H6" s="19" t="str">
        <x:v>正式评分受限</x:v>
      </x:c>
      <x:c r="I6" s="19" t="str">
        <x:v>补交证据包并逐文件核对SHA256</x:v>
      </x:c>
    </x:row>
    <x:row r="7" ht="15" hidden="0" customHeight="1">
      <x:c r="A7" s="19" t="str">
        <x:v>NR-AUDIT-003</x:v>
      </x:c>
      <x:c r="B7" s="19" t="str">
        <x:v>R01–R04审计</x:v>
      </x:c>
      <x:c r="C7" s="19" t="str"/>
      <x:c r="D7" s="19" t="str">
        <x:v>medium</x:v>
      </x:c>
      <x:c r="E7" s="19" t="str">
        <x:v>needs-review</x:v>
      </x:c>
      <x:c r="F7" s="19" t="str">
        <x:v>正式PDQI与工程PDQI-lite必须分版本保存</x:v>
      </x:c>
      <x:c r="G7" s="19" t="str">
        <x:v>本工作簿因缺同行业同年度IS极值而不合成正式PDQI；上一版参考区间值仅可标记为PDQI-lite。</x:v>
      </x:c>
      <x:c r="H7" s="19" t="str">
        <x:v>正式评分受限</x:v>
      </x:c>
      <x:c r="I7" s="19" t="str">
        <x:v>按当前版本化规则维护</x:v>
      </x:c>
    </x:row>
    <x:row r="8" ht="15" hidden="0" customHeight="1">
      <x:c r="A8" s="19" t="str">
        <x:v>NR-AUDIT-004</x:v>
      </x:c>
      <x:c r="B8" s="19" t="str">
        <x:v>R01–R04审计</x:v>
      </x:c>
      <x:c r="C8" s="19" t="str"/>
      <x:c r="D8" s="19" t="str">
        <x:v>medium</x:v>
      </x:c>
      <x:c r="E8" s="19" t="str">
        <x:v>resolved-by-versioning</x:v>
      </x:c>
      <x:c r="F8" s="19" t="str">
        <x:v>ITAG专利口径不一致</x:v>
      </x:c>
      <x:c r="G8" s="19" t="str">
        <x:v>本工作簿采用当年发明专利申请数；上一版采用累计授权专利代理。数据库以metric_variant区分。</x:v>
      </x:c>
      <x:c r="H8" s="19" t="str">
        <x:v>已隔离/无直接影响</x:v>
      </x:c>
      <x:c r="I8" s="19" t="str">
        <x:v>按当前版本化规则维护</x:v>
      </x:c>
    </x:row>
    <x:row r="9" ht="15" hidden="0" customHeight="1">
      <x:c r="A9" s="19" t="str">
        <x:v>NR-AUDIT-005</x:v>
      </x:c>
      <x:c r="B9" s="19" t="str">
        <x:v>客观四企</x:v>
      </x:c>
      <x:c r="C9" s="19" t="str">
        <x:v>寒武纪</x:v>
      </x:c>
      <x:c r="D9" s="19" t="str">
        <x:v>high</x:v>
      </x:c>
      <x:c r="E9" s="19" t="str">
        <x:v>resolved-by-superseding</x:v>
      </x:c>
      <x:c r="F9" s="19" t="str">
        <x:v>旧版寒武纪说明会回答数43不符合QA-only口径</x:v>
      </x:c>
      <x:c r="G9" s="19" t="str">
        <x:v>Ego调用上证路演公开接口确认：总记录41，其中正式管理层问答36、系统/开收场5；旧版43混入了不同入口或非同口径记录。</x:v>
      </x:c>
      <x:c r="H9" s="19" t="str">
        <x:v>已隔离/无直接影响</x:v>
      </x:c>
      <x:c r="I9" s="19" t="str">
        <x:v>统一使用QA-only=36的口径</x:v>
      </x:c>
    </x:row>
    <x:row r="10" ht="15" hidden="0" customHeight="1">
      <x:c r="A10" s="19" t="str">
        <x:v>NR-AUDIT-006</x:v>
      </x:c>
      <x:c r="B10" s="19" t="str">
        <x:v>跨范围</x:v>
      </x:c>
      <x:c r="C10" s="19" t="str"/>
      <x:c r="D10" s="19" t="str">
        <x:v>medium</x:v>
      </x:c>
      <x:c r="E10" s="19" t="str">
        <x:v>resolved-by-scoping</x:v>
      </x:c>
      <x:c r="F10" s="19" t="str">
        <x:v>两张工作簿的四企业样本不一致</x:v>
      </x:c>
      <x:c r="G10" s="19" t="str">
        <x:v>两套样本仅寒武纪重合；数据库以scope_id分离，合并后为7家企业而非4家。</x:v>
      </x:c>
      <x:c r="H10" s="19" t="str">
        <x:v>已隔离/无直接影响</x:v>
      </x:c>
      <x:c r="I10" s="19" t="str">
        <x:v>按当前版本化规则维护</x:v>
      </x:c>
    </x:row>
    <x:row r="11" ht="15" hidden="0" customHeight="1">
      <x:c r="A11" s="19" t="str">
        <x:v>NR-AUDIT-007</x:v>
      </x:c>
      <x:c r="B11" s="19" t="str">
        <x:v>R01–R04审计</x:v>
      </x:c>
      <x:c r="C11" s="19" t="str"/>
      <x:c r="D11" s="19" t="str">
        <x:v>info</x:v>
      </x:c>
      <x:c r="E11" s="19" t="str">
        <x:v>passed</x:v>
      </x:c>
      <x:c r="F11" s="19" t="str">
        <x:v>公式与引用完整性检查通过</x:v>
      </x:c>
      <x:c r="G11" s="19" t="str">
        <x:v>11项独立公式复算均通过，24条观测引用的来源ID均存在。</x:v>
      </x:c>
      <x:c r="H11" s="19" t="str">
        <x:v>已隔离/无直接影响</x:v>
      </x:c>
      <x:c r="I11" s="19" t="str">
        <x:v>按当前版本化规则维护</x:v>
      </x:c>
    </x:row>
  </x:sheetData>
  <x:mergeCells>
    <x:mergeCell ref="A1:I2"/>
    <x:mergeCell ref="A3:I3"/>
  </x:mergeCells>
  <x:conditionalFormatting sqref="D5:D11">
    <x:cfRule type="containsText" dxfId="2" priority="1" operator="containsText" text="high"/>
    <x:cfRule type="containsText" dxfId="3" priority="2" operator="containsText" text="medium"/>
  </x:conditionalFormatting>
  <x:conditionalFormatting sqref="E5:E11">
    <x:cfRule type="containsText" dxfId="4" priority="3" operator="containsText" text="passed"/>
  </x:conditionalFormatting>
  <x:pageMargins left="0.7" right="0.7" top="0.75" bottom="0.75" header="0.3" footer="0.3"/>
  <x:tableParts count="1">
    <x:tablePart xmlns:r="http://schemas.openxmlformats.org/officeDocument/2006/relationships" r:id="R82db67e8949a4b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40" hidden="0" customWidth="1"/>
    <x:col min="9" max="9" width="54" hidden="0" customWidth="1"/>
    <x:col min="10" max="10" width="52" hidden="0" customWidth="1"/>
  </x:cols>
  <x:sheetData>
    <x:row r="1" ht="34" customHeight="1">
      <x:c r="A1" s="3" t="str">
        <x:v>寒武纪指标口径对照与冲突消解</x:v>
      </x:c>
      <x:c r="B1" s="3" t="str">
        <x:v>寒武纪指标口径对照与冲突消解</x:v>
      </x:c>
      <x:c r="C1" s="3" t="str">
        <x:v>寒武纪指标口径对照与冲突消解</x:v>
      </x:c>
      <x:c r="D1" s="3" t="str">
        <x:v>寒武纪指标口径对照与冲突消解</x:v>
      </x:c>
      <x:c r="E1" s="3" t="str">
        <x:v>寒武纪指标口径对照与冲突消解</x:v>
      </x:c>
      <x:c r="F1" s="3" t="str">
        <x:v>寒武纪指标口径对照与冲突消解</x:v>
      </x:c>
      <x:c r="G1" s="3" t="str">
        <x:v>寒武纪指标口径对照与冲突消解</x:v>
      </x:c>
      <x:c r="H1" s="3" t="str">
        <x:v>寒武纪指标口径对照与冲突消解</x:v>
      </x:c>
      <x:c r="I1" s="3" t="str">
        <x:v>寒武纪指标口径对照与冲突消解</x:v>
      </x:c>
      <x:c r="J1" s="3" t="str">
        <x:v>寒武纪指标口径对照与冲突消解</x:v>
      </x:c>
    </x:row>
    <x:row r="2" ht="34" customHeight="1">
      <x:c r="A2" s="3" t="str">
        <x:v>寒武纪指标口径对照与冲突消解</x:v>
      </x:c>
      <x:c r="B2" s="3" t="str">
        <x:v>寒武纪指标口径对照与冲突消解</x:v>
      </x:c>
      <x:c r="C2" s="3" t="str">
        <x:v>寒武纪指标口径对照与冲突消解</x:v>
      </x:c>
      <x:c r="D2" s="3" t="str">
        <x:v>寒武纪指标口径对照与冲突消解</x:v>
      </x:c>
      <x:c r="E2" s="3" t="str">
        <x:v>寒武纪指标口径对照与冲突消解</x:v>
      </x:c>
      <x:c r="F2" s="3" t="str">
        <x:v>寒武纪指标口径对照与冲突消解</x:v>
      </x:c>
      <x:c r="G2" s="3" t="str">
        <x:v>寒武纪指标口径对照与冲突消解</x:v>
      </x:c>
      <x:c r="H2" s="3" t="str">
        <x:v>寒武纪指标口径对照与冲突消解</x:v>
      </x:c>
      <x:c r="I2" s="3" t="str">
        <x:v>寒武纪指标口径对照与冲突消解</x:v>
      </x:c>
      <x:c r="J2" s="3" t="str">
        <x:v>寒武纪指标口径对照与冲突消解</x:v>
      </x:c>
    </x:row>
    <x:row r="3" ht="30" customHeight="1">
      <x:c r="A3" s="6" t="str">
        <x:v>同名指标因基准、专利口径或问答筛选不同而不可直接覆盖。raw保留原表值；validated仅在证据与口径通过后赋值。差异列为Excel公式。 </x:v>
      </x:c>
      <x:c r="B3" s="6" t="str">
        <x:v>同名指标因基准、专利口径或问答筛选不同而不可直接覆盖。raw保留原表值；validated仅在证据与口径通过后赋值。差异列为Excel公式。 </x:v>
      </x:c>
      <x:c r="C3" s="6" t="str">
        <x:v>同名指标因基准、专利口径或问答筛选不同而不可直接覆盖。raw保留原表值；validated仅在证据与口径通过后赋值。差异列为Excel公式。 </x:v>
      </x:c>
      <x:c r="D3" s="6" t="str">
        <x:v>同名指标因基准、专利口径或问答筛选不同而不可直接覆盖。raw保留原表值；validated仅在证据与口径通过后赋值。差异列为Excel公式。 </x:v>
      </x:c>
      <x:c r="E3" s="6" t="str">
        <x:v>同名指标因基准、专利口径或问答筛选不同而不可直接覆盖。raw保留原表值；validated仅在证据与口径通过后赋值。差异列为Excel公式。 </x:v>
      </x:c>
      <x:c r="F3" s="6" t="str">
        <x:v>同名指标因基准、专利口径或问答筛选不同而不可直接覆盖。raw保留原表值；validated仅在证据与口径通过后赋值。差异列为Excel公式。 </x:v>
      </x:c>
      <x:c r="G3" s="6" t="str">
        <x:v>同名指标因基准、专利口径或问答筛选不同而不可直接覆盖。raw保留原表值；validated仅在证据与口径通过后赋值。差异列为Excel公式。 </x:v>
      </x:c>
      <x:c r="H3" s="6" t="str">
        <x:v>同名指标因基准、专利口径或问答筛选不同而不可直接覆盖。raw保留原表值；validated仅在证据与口径通过后赋值。差异列为Excel公式。 </x:v>
      </x:c>
      <x:c r="I3" s="6" t="str">
        <x:v>同名指标因基准、专利口径或问答筛选不同而不可直接覆盖。raw保留原表值；validated仅在证据与口径通过后赋值。差异列为Excel公式。 </x:v>
      </x:c>
      <x:c r="J3" s="6" t="str">
        <x:v>同名指标因基准、专利口径或问答筛选不同而不可直接覆盖。raw保留原表值；validated仅在证据与口径通过后赋值。差异列为Excel公式。 </x:v>
      </x:c>
    </x:row>
    <x:row r="4" ht="15" hidden="0" customHeight="1">
      <x:c r="A4" s="15" t="str">
        <x:v>指标</x:v>
      </x:c>
      <x:c r="B4" s="15" t="str">
        <x:v>评估范围</x:v>
      </x:c>
      <x:c r="C4" s="15" t="str">
        <x:v>版本/口径</x:v>
      </x:c>
      <x:c r="D4" s="15" t="str">
        <x:v>Raw值</x:v>
      </x:c>
      <x:c r="E4" s="15" t="str">
        <x:v>Validated值</x:v>
      </x:c>
      <x:c r="F4" s="15" t="str">
        <x:v>Raw-Validated</x:v>
      </x:c>
      <x:c r="G4" s="15" t="str">
        <x:v>评分状态</x:v>
      </x:c>
      <x:c r="H4" s="15" t="str">
        <x:v>来源/证据</x:v>
      </x:c>
      <x:c r="I4" s="15" t="str">
        <x:v>验证结论</x:v>
      </x:c>
      <x:c r="J4" s="15" t="str">
        <x:v>限制</x:v>
      </x:c>
    </x:row>
    <x:row r="5" ht="15" hidden="0" customHeight="1">
      <x:c r="A5" s="19" t="str">
        <x:v>PDQI</x:v>
      </x:c>
      <x:c r="B5" s="19" t="str">
        <x:v>客观四企</x:v>
      </x:c>
      <x:c r="C5" s="19" t="str">
        <x:v>PDQI-lite参考区间[0.5,1.0]</x:v>
      </x:c>
      <x:c r="D5" s="28" t="n">
        <x:v>0.5183147695</x:v>
      </x:c>
      <x:c r="E5" s="28" t="n">
        <x:v>0.5183147695</x:v>
      </x:c>
      <x:c r="F5" s="28" t="n">
        <x:f>IF(OR(D5="",E5=""),"",D5-E5)</x:f>
        <x:v>0</x:v>
      </x:c>
      <x:c r="G5" s="19" t="str">
        <x:v>工程参考</x:v>
      </x:c>
      <x:c r="H5" s="19" t="str">
        <x:v>2025年报</x:v>
      </x:c>
      <x:c r="I5" s="19" t="str">
        <x:v>保留为lite，不等同正式PDQI</x:v>
      </x:c>
      <x:c r="J5" s="19" t="str">
        <x:v>缺行业-年度IS_min/IS_max</x:v>
      </x:c>
    </x:row>
    <x:row r="6" ht="15" hidden="0" customHeight="1">
      <x:c r="A6" s="19" t="str">
        <x:v>PDQI</x:v>
      </x:c>
      <x:c r="B6" s="19" t="str">
        <x:v>R01-R04审计</x:v>
      </x:c>
      <x:c r="C6" s="19" t="str">
        <x:v>正式行业-年度归一</x:v>
      </x:c>
      <x:c r="D6" s="28"/>
      <x:c r="E6" s="28"/>
      <x:c r="F6" s="28" t="str">
        <x:f>IF(OR(D6="",E6=""),"",D6-E6)</x:f>
      </x:c>
      <x:c r="G6" s="19" t="str">
        <x:v>不可计算</x:v>
      </x:c>
      <x:c r="H6" s="19" t="str">
        <x:v>2025年报</x:v>
      </x:c>
      <x:c r="I6" s="19" t="str">
        <x:v>正式值保持NULL</x:v>
      </x:c>
      <x:c r="J6" s="19" t="str">
        <x:v>缺行业-年度IS_min/IS_max</x:v>
      </x:c>
    </x:row>
    <x:row r="7" ht="15" hidden="0" customHeight="1">
      <x:c r="A7" s="19" t="str">
        <x:v>ITAG</x:v>
      </x:c>
      <x:c r="B7" s="19" t="str">
        <x:v>客观四企</x:v>
      </x:c>
      <x:c r="C7" s="19" t="str">
        <x:v>累计授权专利代理1734项</x:v>
      </x:c>
      <x:c r="D7" s="28" t="n">
        <x:v>-3.2417630437</x:v>
      </x:c>
      <x:c r="E7" s="28" t="n">
        <x:v>-3.2417630437</x:v>
      </x:c>
      <x:c r="F7" s="28" t="n">
        <x:f>IF(OR(D7="",E7=""),"",D7-E7)</x:f>
        <x:v>0</x:v>
      </x:c>
      <x:c r="G7" s="19" t="str">
        <x:v>探索性</x:v>
      </x:c>
      <x:c r="H7" s="19" t="str">
        <x:v>2025年报</x:v>
      </x:c>
      <x:c r="I7" s="19" t="str">
        <x:v>仅作legacy代理</x:v>
      </x:c>
      <x:c r="J7" s="19" t="str">
        <x:v>与年度申请数不可比较</x:v>
      </x:c>
    </x:row>
    <x:row r="8" ht="15" hidden="0" customHeight="1">
      <x:c r="A8" s="19" t="str">
        <x:v>ITAG</x:v>
      </x:c>
      <x:c r="B8" s="19" t="str">
        <x:v>R01-R04审计</x:v>
      </x:c>
      <x:c r="C8" s="19" t="str">
        <x:v>当年发明专利申请101项</x:v>
      </x:c>
      <x:c r="D8" s="28" t="n">
        <x:v>-0.7697671615</x:v>
      </x:c>
      <x:c r="E8" s="28" t="n">
        <x:v>-0.7697671615</x:v>
      </x:c>
      <x:c r="F8" s="28" t="n">
        <x:f>IF(OR(D8="",E8=""),"",D8-E8)</x:f>
        <x:v>0</x:v>
      </x:c>
      <x:c r="G8" s="19" t="str">
        <x:v>条件可用</x:v>
      </x:c>
      <x:c r="H8" s="19" t="str">
        <x:v>cam-2025a</x:v>
      </x:c>
      <x:c r="I8" s="19" t="str">
        <x:v>个体口径公式通过</x:v>
      </x:c>
      <x:c r="J8" s="19" t="str">
        <x:v>未做行业-年度Z-score</x:v>
      </x:c>
    </x:row>
    <x:row r="9" ht="15" hidden="0" customHeight="1">
      <x:c r="A9" s="19" t="str">
        <x:v>TONE</x:v>
      </x:c>
      <x:c r="B9" s="19" t="str">
        <x:v>客观四企</x:v>
      </x:c>
      <x:c r="C9" s="19" t="str">
        <x:v>旧版声称43条管理层回答</x:v>
      </x:c>
      <x:c r="D9" s="28" t="n">
        <x:v>0.7798165138</x:v>
      </x:c>
      <x:c r="E9" s="28"/>
      <x:c r="F9" s="28" t="str">
        <x:f>IF(OR(D9="",E9=""),"",D9-E9)</x:f>
      </x:c>
      <x:c r="G9" s="19" t="str">
        <x:v>被替代</x:v>
      </x:c>
      <x:c r="H9" s="19" t="str">
        <x:v>SRC-CAM-RS25</x:v>
      </x:c>
      <x:c r="I9" s="19" t="str">
        <x:v>Ego确认QA-only应为36</x:v>
      </x:c>
      <x:c r="J9" s="19" t="str">
        <x:v>旧值混入不同入口/非同口径记录</x:v>
      </x:c>
    </x:row>
    <x:row r="10" ht="15" hidden="0" customHeight="1">
      <x:c r="A10" s="19" t="str">
        <x:v>TONE</x:v>
      </x:c>
      <x:c r="B10" s="19" t="str">
        <x:v>R01-R04审计</x:v>
      </x:c>
      <x:c r="C10" s="19" t="str">
        <x:v>QA-only 36条回答</x:v>
      </x:c>
      <x:c r="D10" s="28" t="n">
        <x:v>0.756097561</x:v>
      </x:c>
      <x:c r="E10" s="28" t="n">
        <x:v>0.756097561</x:v>
      </x:c>
      <x:c r="F10" s="28" t="n">
        <x:f>IF(OR(D10="",E10=""),"",D10-E10)</x:f>
        <x:v>0</x:v>
      </x:c>
      <x:c r="G10" s="19" t="str">
        <x:v>条件可用</x:v>
      </x:c>
      <x:c r="H10" s="19" t="str">
        <x:v>roadshow-38704</x:v>
      </x:c>
      <x:c r="I10" s="19" t="str">
        <x:v>公开接口回查一致</x:v>
      </x:c>
      <x:c r="J10" s="19" t="str">
        <x:v>词典法不识别否定范围</x:v>
      </x:c>
    </x:row>
    <x:row r="11" ht="15" hidden="0" customHeight="1">
      <x:c r="A11" s="19" t="str">
        <x:v>R01-DTQ代理</x:v>
      </x:c>
      <x:c r="B11" s="19" t="str">
        <x:v>R01-R04审计</x:v>
      </x:c>
      <x:c r="C11" s="19" t="str">
        <x:v>季度全文媒体+说明会问题</x:v>
      </x:c>
      <x:c r="D11" s="28" t="n">
        <x:v>-0.9402527717</x:v>
      </x:c>
      <x:c r="E11" s="28"/>
      <x:c r="F11" s="28" t="str">
        <x:f>IF(OR(D11="",E11=""),"",D11-E11)</x:f>
      </x:c>
      <x:c r="G11" s="19" t="str">
        <x:v>不可评分</x:v>
      </x:c>
      <x:c r="H11" s="19" t="str">
        <x:v>媒体固定样本</x:v>
      </x:c>
      <x:c r="I11" s="19" t="str">
        <x:v>重复来源ID导致季度计数膨胀</x:v>
      </x:c>
      <x:c r="J11" s="19" t="str">
        <x:v>缺全量e互动与重算文本</x:v>
      </x:c>
    </x:row>
    <x:row r="12" ht="15" hidden="0" customHeight="1">
      <x:c r="A12" s="19" t="str">
        <x:v>R02夸张密度差</x:v>
      </x:c>
      <x:c r="B12" s="19" t="str">
        <x:v>R01-R04审计</x:v>
      </x:c>
      <x:c r="C12" s="19" t="str">
        <x:v>公司全文-第三方全文</x:v>
      </x:c>
      <x:c r="D12" s="28" t="n">
        <x:v>0.0008277364</x:v>
      </x:c>
      <x:c r="E12" s="28"/>
      <x:c r="F12" s="28" t="str">
        <x:f>IF(OR(D12="",E12=""),"",D12-E12)</x:f>
      </x:c>
      <x:c r="G12" s="19" t="str">
        <x:v>不可评分</x:v>
      </x:c>
      <x:c r="H12" s="19" t="str">
        <x:v>15个正式来源行/11个唯一来源</x:v>
      </x:c>
      <x:c r="I12" s="19" t="str">
        <x:v>3篇媒体被重复2–3次</x:v>
      </x:c>
      <x:c r="J12" s="19" t="str">
        <x:v>缺原始113文件，暂不能去重重算词频</x:v>
      </x:c>
    </x:row>
    <x:row r="13" ht="15" hidden="0" customHeight="1">
      <x:c r="A13" s="19" t="str">
        <x:v>R03相邻相似度</x:v>
      </x:c>
      <x:c r="B13" s="19" t="str">
        <x:v>R01-R04审计</x:v>
      </x:c>
      <x:c r="C13" s="19" t="str">
        <x:v>四期正式报告</x:v>
      </x:c>
      <x:c r="D13" s="28" t="n">
        <x:v>0.3016911251</x:v>
      </x:c>
      <x:c r="E13" s="28" t="n">
        <x:v>0.3016911251</x:v>
      </x:c>
      <x:c r="F13" s="28" t="n">
        <x:f>IF(OR(D13="",E13=""),"",D13-E13)</x:f>
        <x:v>0</x:v>
      </x:c>
      <x:c r="G13" s="19" t="str">
        <x:v>条件可用</x:v>
      </x:c>
      <x:c r="H13" s="19" t="str">
        <x:v>2025Q3/2025A/2026Q1/2026H1</x:v>
      </x:c>
      <x:c r="I13" s="19" t="str">
        <x:v>公式与引用通过</x:v>
      </x:c>
      <x:c r="J13" s="19" t="str">
        <x:v>报告并非严格等间隔</x:v>
      </x:c>
    </x:row>
    <x:row r="14" ht="15" hidden="0" customHeight="1">
      <x:c r="A14" s="19" t="str">
        <x:v>R04概念收入占比</x:v>
      </x:c>
      <x:c r="B14" s="19" t="str">
        <x:v>R01-R04审计</x:v>
      </x:c>
      <x:c r="C14" s="19" t="str">
        <x:v>云端+边缘+IP软件/总营收</x:v>
      </x:c>
      <x:c r="D14" s="28" t="n">
        <x:v>99.7743916455</x:v>
      </x:c>
      <x:c r="E14" s="28" t="n">
        <x:v>99.7743916455</x:v>
      </x:c>
      <x:c r="F14" s="28" t="n">
        <x:f>IF(OR(D14="",E14=""),"",D14-E14)</x:f>
        <x:v>0</x:v>
      </x:c>
      <x:c r="G14" s="19" t="str">
        <x:v>可用</x:v>
      </x:c>
      <x:c r="H14" s="19" t="str">
        <x:v>cam-2025a</x:v>
      </x:c>
      <x:c r="I14" s="19" t="str">
        <x:v>公式与正式报告输入通过</x:v>
      </x:c>
      <x:c r="J14" s="19" t="str">
        <x:v>不含其他收入</x:v>
      </x:c>
    </x:row>
    <x:row r="15"/>
    <x:row r="16"/>
    <x:row r="17" ht="15" hidden="0" customHeight="1">
      <x:c r="A17" s="9" t="str">
        <x:v>重复来源ID（完全相同的行与SHA256）</x:v>
      </x:c>
      <x:c r="B17" s="9" t="str">
        <x:v>重复来源ID（完全相同的行与SHA256）</x:v>
      </x:c>
      <x:c r="C17" s="9" t="str">
        <x:v>重复来源ID（完全相同的行与SHA256）</x:v>
      </x:c>
      <x:c r="D17" s="9" t="str">
        <x:v>重复来源ID（完全相同的行与SHA256）</x:v>
      </x:c>
      <x:c r="E17" s="9" t="str">
        <x:v>重复来源ID（完全相同的行与SHA256）</x:v>
      </x:c>
      <x:c r="F17" s="9" t="str">
        <x:v>Ego说明会记录复核</x:v>
      </x:c>
      <x:c r="G17" s="9" t="str">
        <x:v>Ego说明会记录复核</x:v>
      </x:c>
      <x:c r="H17" s="9" t="str">
        <x:v>Ego说明会记录复核</x:v>
      </x:c>
      <x:c r="I17" s="9" t="str">
        <x:v>Ego说明会记录复核</x:v>
      </x:c>
      <x:c r="J17" s="9" t="str">
        <x:v>Ego说明会记录复核</x:v>
      </x:c>
    </x:row>
    <x:row r="18" ht="15" hidden="0" customHeight="1">
      <x:c r="A18" s="27" t="str">
        <x:v>来源ID</x:v>
      </x:c>
      <x:c r="B18" s="27" t="str">
        <x:v>原表次数</x:v>
      </x:c>
      <x:c r="C18" s="27" t="str">
        <x:v>唯一文章</x:v>
      </x:c>
      <x:c r="D18" s="27" t="str">
        <x:v>有效词数/篇</x:v>
      </x:c>
      <x:c r="E18" s="27" t="str">
        <x:v>评分处置</x:v>
      </x:c>
      <x:c r="F18" s="27" t="str">
        <x:v>活动ID</x:v>
      </x:c>
      <x:c r="G18" s="27" t="str">
        <x:v>页面总记录</x:v>
      </x:c>
      <x:c r="H18" s="27" t="str">
        <x:v>QA记录</x:v>
      </x:c>
      <x:c r="I18" s="27" t="str">
        <x:v>系统记录</x:v>
      </x:c>
      <x:c r="J18" s="27" t="str">
        <x:v>验证状态</x:v>
      </x:c>
    </x:row>
    <x:row r="19" ht="15" hidden="0" customHeight="1">
      <x:c r="A19" s="19" t="str">
        <x:v>media-cambricon-d65a9bcc4d0a</x:v>
      </x:c>
      <x:c r="B19" s="19" t="n">
        <x:v>2</x:v>
      </x:c>
      <x:c r="C19" s="19" t="n">
        <x:v>1</x:v>
      </x:c>
      <x:c r="D19" s="19" t="n">
        <x:v>320</x:v>
      </x:c>
      <x:c r="E19" s="19" t="str">
        <x:v>去重前指标无效化</x:v>
      </x:c>
      <x:c r="F19" s="19" t="n">
        <x:v>34929</x:v>
      </x:c>
      <x:c r="G19" s="19" t="n">
        <x:v>24</x:v>
      </x:c>
      <x:c r="H19" s="19" t="n">
        <x:v>19</x:v>
      </x:c>
      <x:c r="I19" s="19" t="n">
        <x:v>5</x:v>
      </x:c>
      <x:c r="J19" s="19" t="str">
        <x:v>confirmed</x:v>
      </x:c>
    </x:row>
    <x:row r="20" ht="15" hidden="0" customHeight="1">
      <x:c r="A20" s="19" t="str">
        <x:v>media-cambricon-af44268d9c7f</x:v>
      </x:c>
      <x:c r="B20" s="19" t="n">
        <x:v>3</x:v>
      </x:c>
      <x:c r="C20" s="19" t="n">
        <x:v>1</x:v>
      </x:c>
      <x:c r="D20" s="19" t="n">
        <x:v>678</x:v>
      </x:c>
      <x:c r="E20" s="19" t="str">
        <x:v>去重前指标无效化</x:v>
      </x:c>
      <x:c r="F20" s="19" t="n">
        <x:v>38704</x:v>
      </x:c>
      <x:c r="G20" s="19" t="n">
        <x:v>41</x:v>
      </x:c>
      <x:c r="H20" s="19" t="n">
        <x:v>36</x:v>
      </x:c>
      <x:c r="I20" s="19" t="n">
        <x:v>5</x:v>
      </x:c>
      <x:c r="J20" s="19" t="str">
        <x:v>confirmed</x:v>
      </x:c>
    </x:row>
    <x:row r="21" ht="15" hidden="0" customHeight="1">
      <x:c r="A21" s="19" t="str">
        <x:v>media-cambricon-8bc149f0481b</x:v>
      </x:c>
      <x:c r="B21" s="19" t="n">
        <x:v>2</x:v>
      </x:c>
      <x:c r="C21" s="19" t="n">
        <x:v>1</x:v>
      </x:c>
      <x:c r="D21" s="19" t="n">
        <x:v>377</x:v>
      </x:c>
      <x:c r="E21" s="19" t="str">
        <x:v>去重前指标无效化</x:v>
      </x:c>
      <x:c r="F21" s="19" t="n">
        <x:v>40262</x:v>
      </x:c>
      <x:c r="G21" s="19" t="n">
        <x:v>69</x:v>
      </x:c>
      <x:c r="H21" s="19" t="n">
        <x:v>64</x:v>
      </x:c>
      <x:c r="I21" s="19" t="n">
        <x:v>5</x:v>
      </x:c>
      <x:c r="J21" s="19" t="str">
        <x:v>confirmed</x:v>
      </x:c>
    </x:row>
    <x:row r="22" ht="15" hidden="0" customHeight="1">
      <x:c r="F22" s="19" t="n">
        <x:v>37197</x:v>
      </x:c>
      <x:c r="G22" s="19" t="n">
        <x:v>5</x:v>
      </x:c>
      <x:c r="H22" s="19" t="n">
        <x:v>3</x:v>
      </x:c>
      <x:c r="I22" s="19" t="n">
        <x:v>2</x:v>
      </x:c>
      <x:c r="J22" s="19" t="str">
        <x:v>confirmed</x:v>
      </x:c>
    </x:row>
  </x:sheetData>
  <x:mergeCells>
    <x:mergeCell ref="A1:J2"/>
    <x:mergeCell ref="A3:J3"/>
    <x:mergeCell ref="A17:E17"/>
    <x:mergeCell ref="F17:J17"/>
  </x:mergeCells>
  <x:conditionalFormatting sqref="G5:G14">
    <x:cfRule type="containsText" dxfId="5" priority="1" operator="containsText" text="不可"/>
    <x:cfRule type="containsText" dxfId="6" priority="2" operator="containsText" text="可用"/>
  </x:conditionalFormatting>
  <x:pageMargins left="0.7" right="0.7" top="0.75" bottom="0.75" header="0.3" footer="0.3"/>
  <x:tableParts count="1">
    <x:tablePart xmlns:r="http://schemas.openxmlformats.org/officeDocument/2006/relationships" r:id="R15e624cae2fa43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0" hidden="0" customWidth="1"/>
    <x:col min="4" max="4" width="34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42" hidden="0" customWidth="1"/>
    <x:col min="11" max="11" width="11" hidden="0" customWidth="1"/>
    <x:col min="12" max="12" width="12" hidden="0" customWidth="1"/>
    <x:col min="13" max="13" width="58" hidden="0" customWidth="1"/>
    <x:col min="14" max="14" width="13" hidden="0" customWidth="1"/>
    <x:col min="15" max="15" width="10" hidden="0" customWidth="1"/>
    <x:col min="16" max="16" width="62" hidden="0" customWidth="1"/>
    <x:col min="17" max="17" width="14" hidden="0" customWidth="1"/>
  </x:cols>
  <x:sheetData>
    <x:row r="1" ht="34" customHeight="1">
      <x:c r="A1" s="3" t="str">
        <x:v>标准化指标明细（Raw与Validated双值）</x:v>
      </x:c>
      <x:c r="B1" s="3" t="str">
        <x:v>标准化指标明细（Raw与Validated双值）</x:v>
      </x:c>
      <x:c r="C1" s="3" t="str">
        <x:v>标准化指标明细（Raw与Validated双值）</x:v>
      </x:c>
      <x:c r="D1" s="3" t="str">
        <x:v>标准化指标明细（Raw与Validated双值）</x:v>
      </x:c>
      <x:c r="E1" s="3" t="str">
        <x:v>标准化指标明细（Raw与Validated双值）</x:v>
      </x:c>
      <x:c r="F1" s="3" t="str">
        <x:v>标准化指标明细（Raw与Validated双值）</x:v>
      </x:c>
      <x:c r="G1" s="3" t="str">
        <x:v>标准化指标明细（Raw与Validated双值）</x:v>
      </x:c>
      <x:c r="H1" s="3" t="str">
        <x:v>标准化指标明细（Raw与Validated双值）</x:v>
      </x:c>
      <x:c r="I1" s="3" t="str">
        <x:v>标准化指标明细（Raw与Validated双值）</x:v>
      </x:c>
      <x:c r="J1" s="3" t="str">
        <x:v>标准化指标明细（Raw与Validated双值）</x:v>
      </x:c>
      <x:c r="K1" s="3" t="str">
        <x:v>标准化指标明细（Raw与Validated双值）</x:v>
      </x:c>
      <x:c r="L1" s="3" t="str">
        <x:v>标准化指标明细（Raw与Validated双值）</x:v>
      </x:c>
      <x:c r="M1" s="3" t="str">
        <x:v>标准化指标明细（Raw与Validated双值）</x:v>
      </x:c>
      <x:c r="N1" s="3" t="str">
        <x:v>标准化指标明细（Raw与Validated双值）</x:v>
      </x:c>
      <x:c r="O1" s="3" t="str">
        <x:v>标准化指标明细（Raw与Validated双值）</x:v>
      </x:c>
      <x:c r="P1" s="3" t="str">
        <x:v>标准化指标明细（Raw与Validated双值）</x:v>
      </x:c>
      <x:c r="Q1" s="3" t="str">
        <x:v>标准化指标明细（Raw与Validated双值）</x:v>
      </x:c>
    </x:row>
    <x:row r="2" ht="34" customHeight="1">
      <x:c r="A2" s="3" t="str">
        <x:v>标准化指标明细（Raw与Validated双值）</x:v>
      </x:c>
      <x:c r="B2" s="3" t="str">
        <x:v>标准化指标明细（Raw与Validated双值）</x:v>
      </x:c>
      <x:c r="C2" s="3" t="str">
        <x:v>标准化指标明细（Raw与Validated双值）</x:v>
      </x:c>
      <x:c r="D2" s="3" t="str">
        <x:v>标准化指标明细（Raw与Validated双值）</x:v>
      </x:c>
      <x:c r="E2" s="3" t="str">
        <x:v>标准化指标明细（Raw与Validated双值）</x:v>
      </x:c>
      <x:c r="F2" s="3" t="str">
        <x:v>标准化指标明细（Raw与Validated双值）</x:v>
      </x:c>
      <x:c r="G2" s="3" t="str">
        <x:v>标准化指标明细（Raw与Validated双值）</x:v>
      </x:c>
      <x:c r="H2" s="3" t="str">
        <x:v>标准化指标明细（Raw与Validated双值）</x:v>
      </x:c>
      <x:c r="I2" s="3" t="str">
        <x:v>标准化指标明细（Raw与Validated双值）</x:v>
      </x:c>
      <x:c r="J2" s="3" t="str">
        <x:v>标准化指标明细（Raw与Validated双值）</x:v>
      </x:c>
      <x:c r="K2" s="3" t="str">
        <x:v>标准化指标明细（Raw与Validated双值）</x:v>
      </x:c>
      <x:c r="L2" s="3" t="str">
        <x:v>标准化指标明细（Raw与Validated双值）</x:v>
      </x:c>
      <x:c r="M2" s="3" t="str">
        <x:v>标准化指标明细（Raw与Validated双值）</x:v>
      </x:c>
      <x:c r="N2" s="3" t="str">
        <x:v>标准化指标明细（Raw与Validated双值）</x:v>
      </x:c>
      <x:c r="O2" s="3" t="str">
        <x:v>标准化指标明细（Raw与Validated双值）</x:v>
      </x:c>
      <x:c r="P2" s="3" t="str">
        <x:v>标准化指标明细（Raw与Validated双值）</x:v>
      </x:c>
      <x:c r="Q2" s="3" t="str">
        <x:v>标准化指标明细（Raw与Validated双值）</x:v>
      </x:c>
    </x:row>
    <x:row r="3" ht="30" customHeight="1">
      <x:c r="A3" s="6" t="str">
        <x:v>Validated值为空可能表示原始缺失、正式基准缺失或审计无效化；不能把NULL当作低风险。Q列为便于总览公式使用的评分状态。 </x:v>
      </x:c>
      <x:c r="B3" s="6" t="str">
        <x:v>Validated值为空可能表示原始缺失、正式基准缺失或审计无效化；不能把NULL当作低风险。Q列为便于总览公式使用的评分状态。 </x:v>
      </x:c>
      <x:c r="C3" s="6" t="str">
        <x:v>Validated值为空可能表示原始缺失、正式基准缺失或审计无效化；不能把NULL当作低风险。Q列为便于总览公式使用的评分状态。 </x:v>
      </x:c>
      <x:c r="D3" s="6" t="str">
        <x:v>Validated值为空可能表示原始缺失、正式基准缺失或审计无效化；不能把NULL当作低风险。Q列为便于总览公式使用的评分状态。 </x:v>
      </x:c>
      <x:c r="E3" s="6" t="str">
        <x:v>Validated值为空可能表示原始缺失、正式基准缺失或审计无效化；不能把NULL当作低风险。Q列为便于总览公式使用的评分状态。 </x:v>
      </x:c>
      <x:c r="F3" s="6" t="str">
        <x:v>Validated值为空可能表示原始缺失、正式基准缺失或审计无效化；不能把NULL当作低风险。Q列为便于总览公式使用的评分状态。 </x:v>
      </x:c>
      <x:c r="G3" s="6" t="str">
        <x:v>Validated值为空可能表示原始缺失、正式基准缺失或审计无效化；不能把NULL当作低风险。Q列为便于总览公式使用的评分状态。 </x:v>
      </x:c>
      <x:c r="H3" s="6" t="str">
        <x:v>Validated值为空可能表示原始缺失、正式基准缺失或审计无效化；不能把NULL当作低风险。Q列为便于总览公式使用的评分状态。 </x:v>
      </x:c>
      <x:c r="I3" s="6" t="str">
        <x:v>Validated值为空可能表示原始缺失、正式基准缺失或审计无效化；不能把NULL当作低风险。Q列为便于总览公式使用的评分状态。 </x:v>
      </x:c>
      <x:c r="J3" s="6" t="str">
        <x:v>Validated值为空可能表示原始缺失、正式基准缺失或审计无效化；不能把NULL当作低风险。Q列为便于总览公式使用的评分状态。 </x:v>
      </x:c>
      <x:c r="K3" s="6" t="str">
        <x:v>Validated值为空可能表示原始缺失、正式基准缺失或审计无效化；不能把NULL当作低风险。Q列为便于总览公式使用的评分状态。 </x:v>
      </x:c>
      <x:c r="L3" s="6" t="str">
        <x:v>Validated值为空可能表示原始缺失、正式基准缺失或审计无效化；不能把NULL当作低风险。Q列为便于总览公式使用的评分状态。 </x:v>
      </x:c>
      <x:c r="M3" s="6" t="str">
        <x:v>Validated值为空可能表示原始缺失、正式基准缺失或审计无效化；不能把NULL当作低风险。Q列为便于总览公式使用的评分状态。 </x:v>
      </x:c>
      <x:c r="N3" s="6" t="str">
        <x:v>Validated值为空可能表示原始缺失、正式基准缺失或审计无效化；不能把NULL当作低风险。Q列为便于总览公式使用的评分状态。 </x:v>
      </x:c>
      <x:c r="O3" s="6" t="str">
        <x:v>Validated值为空可能表示原始缺失、正式基准缺失或审计无效化；不能把NULL当作低风险。Q列为便于总览公式使用的评分状态。 </x:v>
      </x:c>
      <x:c r="P3" s="6" t="str">
        <x:v>Validated值为空可能表示原始缺失、正式基准缺失或审计无效化；不能把NULL当作低风险。Q列为便于总览公式使用的评分状态。 </x:v>
      </x:c>
      <x:c r="Q3" s="6" t="str">
        <x:v>Validated值为空可能表示原始缺失、正式基准缺失或审计无效化；不能把NULL当作低风险。Q列为便于总览公式使用的评分状态。 </x:v>
      </x:c>
    </x:row>
    <x:row r="4" ht="15" hidden="0" customHeight="1">
      <x:c r="A4" s="15" t="str">
        <x:v>评估范围</x:v>
      </x:c>
      <x:c r="B4" s="15" t="str">
        <x:v>企业</x:v>
      </x:c>
      <x:c r="C4" s="15" t="str">
        <x:v>指标</x:v>
      </x:c>
      <x:c r="D4" s="15" t="str">
        <x:v>度量</x:v>
      </x:c>
      <x:c r="E4" s="15" t="str">
        <x:v>版本/口径</x:v>
      </x:c>
      <x:c r="F4" s="15" t="str">
        <x:v>Raw值</x:v>
      </x:c>
      <x:c r="G4" s="15" t="str">
        <x:v>Validated值</x:v>
      </x:c>
      <x:c r="H4" s="15" t="str">
        <x:v>单位</x:v>
      </x:c>
      <x:c r="I4" s="15" t="str">
        <x:v>原状态</x:v>
      </x:c>
      <x:c r="J4" s="15" t="str">
        <x:v>验证状态</x:v>
      </x:c>
      <x:c r="K4" s="15" t="str">
        <x:v>置信度</x:v>
      </x:c>
      <x:c r="L4" s="15" t="str">
        <x:v>置信等级</x:v>
      </x:c>
      <x:c r="M4" s="15" t="str">
        <x:v>公式</x:v>
      </x:c>
      <x:c r="N4" s="15" t="str">
        <x:v>截止日</x:v>
      </x:c>
      <x:c r="O4" s="15" t="str">
        <x:v>可评分</x:v>
      </x:c>
      <x:c r="P4" s="15" t="str">
        <x:v>指标ID</x:v>
      </x:c>
      <x:c r="Q4" s="15" t="str">
        <x:v>评分状态</x:v>
      </x:c>
    </x:row>
    <x:row r="5" ht="15" hidden="0" customHeight="1">
      <x:c r="A5" s="19" t="str">
        <x:v>客观四企</x:v>
      </x:c>
      <x:c r="B5" s="19" t="str">
        <x:v>寒武纪</x:v>
      </x:c>
      <x:c r="C5" s="19" t="str">
        <x:v>R05</x:v>
      </x:c>
      <x:c r="D5" s="19" t="str">
        <x:v>objective_indicator_risk_score</x:v>
      </x:c>
      <x:c r="E5" s="19" t="str">
        <x:v>IRAWC-CRITIC-2026.08-v2</x:v>
      </x:c>
      <x:c r="F5" s="28" t="n">
        <x:v>27.78</x:v>
      </x:c>
      <x:c r="G5" s="28" t="n">
        <x:v>27.78</x:v>
      </x:c>
      <x:c r="H5" s="19" t="str">
        <x:v>risk-score-0-100</x:v>
      </x:c>
      <x:c r="I5" s="19" t="str">
        <x:v>scored</x:v>
      </x:c>
      <x:c r="J5" s="19" t="str">
        <x:v>validated-from-governed-dataset</x:v>
      </x:c>
      <x:c r="K5" s="20"/>
      <x:c r="L5" s="19"/>
      <x:c r="M5" s="19" t="str">
        <x:v>r_rel=0.0556；r=100×(0.5×0.5+0.5×0.0556)=27.78</x:v>
      </x:c>
      <x:c r="N5" s="19" t="str">
        <x:v>2026-08-26</x:v>
      </x:c>
      <x:c r="O5" s="33" t="b">
        <x:v>1</x:v>
      </x:c>
      <x:c r="P5" s="19" t="str">
        <x:v>objective-four-20260826:cambricon:R05:risk-score</x:v>
      </x:c>
      <x:c r="Q5" s="19" t="str">
        <x:v>已验证</x:v>
      </x:c>
    </x:row>
    <x:row r="6" ht="15" hidden="0" customHeight="1">
      <x:c r="A6" s="19" t="str">
        <x:v>客观四企</x:v>
      </x:c>
      <x:c r="B6" s="19" t="str">
        <x:v>寒武纪</x:v>
      </x:c>
      <x:c r="C6" s="19" t="str">
        <x:v>R06</x:v>
      </x:c>
      <x:c r="D6" s="19" t="str">
        <x:v>objective_indicator_risk_score</x:v>
      </x:c>
      <x:c r="E6" s="19" t="str">
        <x:v>IRAWC-CRITIC-2026.08-v2</x:v>
      </x:c>
      <x:c r="F6" s="28" t="n">
        <x:v>30.77</x:v>
      </x:c>
      <x:c r="G6" s="28" t="n">
        <x:v>30.77</x:v>
      </x:c>
      <x:c r="H6" s="19" t="str">
        <x:v>risk-score-0-100</x:v>
      </x:c>
      <x:c r="I6" s="19" t="str">
        <x:v>scored</x:v>
      </x:c>
      <x:c r="J6" s="19" t="str">
        <x:v>validated-from-governed-dataset</x:v>
      </x:c>
      <x:c r="K6" s="20"/>
      <x:c r="L6" s="19"/>
      <x:c r="M6" s="19" t="str">
        <x:v>r_rel=0.1154；r=100×(0.5×0.5+0.5×0.1154)=30.77</x:v>
      </x:c>
      <x:c r="N6" s="19" t="str">
        <x:v>2026-08-26</x:v>
      </x:c>
      <x:c r="O6" s="33" t="b">
        <x:v>1</x:v>
      </x:c>
      <x:c r="P6" s="19" t="str">
        <x:v>objective-four-20260826:cambricon:R06:risk-score</x:v>
      </x:c>
      <x:c r="Q6" s="19" t="str">
        <x:v>已验证</x:v>
      </x:c>
    </x:row>
    <x:row r="7" ht="15" hidden="0" customHeight="1">
      <x:c r="A7" s="19" t="str">
        <x:v>客观四企</x:v>
      </x:c>
      <x:c r="B7" s="19" t="str">
        <x:v>寒武纪</x:v>
      </x:c>
      <x:c r="C7" s="19" t="str">
        <x:v>R07</x:v>
      </x:c>
      <x:c r="D7" s="19" t="str">
        <x:v>objective_indicator_risk_score</x:v>
      </x:c>
      <x:c r="E7" s="19" t="str">
        <x:v>IRAWC-CRITIC-2026.08-v2</x:v>
      </x:c>
      <x:c r="F7" s="28" t="n">
        <x:v>66.54</x:v>
      </x:c>
      <x:c r="G7" s="28" t="n">
        <x:v>66.54</x:v>
      </x:c>
      <x:c r="H7" s="19" t="str">
        <x:v>risk-score-0-100</x:v>
      </x:c>
      <x:c r="I7" s="19" t="str">
        <x:v>scored</x:v>
      </x:c>
      <x:c r="J7" s="19" t="str">
        <x:v>validated-from-governed-dataset</x:v>
      </x:c>
      <x:c r="K7" s="20"/>
      <x:c r="L7" s="19"/>
      <x:c r="M7" s="19" t="str">
        <x:v>r_rel=0.8308；r=100×(0.5×0.5+0.5×0.8308)=66.54</x:v>
      </x:c>
      <x:c r="N7" s="19" t="str">
        <x:v>2026-08-26</x:v>
      </x:c>
      <x:c r="O7" s="33" t="b">
        <x:v>1</x:v>
      </x:c>
      <x:c r="P7" s="19" t="str">
        <x:v>objective-four-20260826:cambricon:R07:risk-score</x:v>
      </x:c>
      <x:c r="Q7" s="19" t="str">
        <x:v>已验证</x:v>
      </x:c>
    </x:row>
    <x:row r="8" ht="15" hidden="0" customHeight="1">
      <x:c r="A8" s="19" t="str">
        <x:v>客观四企</x:v>
      </x:c>
      <x:c r="B8" s="19" t="str">
        <x:v>寒武纪</x:v>
      </x:c>
      <x:c r="C8" s="19" t="str">
        <x:v>R08</x:v>
      </x:c>
      <x:c r="D8" s="19" t="str">
        <x:v>objective_indicator_risk_score</x:v>
      </x:c>
      <x:c r="E8" s="19" t="str">
        <x:v>IRAWC-CRITIC-2026.08-v2</x:v>
      </x:c>
      <x:c r="F8" s="28"/>
      <x:c r="G8" s="28"/>
      <x:c r="H8" s="19" t="str">
        <x:v>risk-score-0-100</x:v>
      </x:c>
      <x:c r="I8" s="19" t="str">
        <x:v>missing</x:v>
      </x:c>
      <x:c r="J8" s="19" t="str">
        <x:v>missing</x:v>
      </x:c>
      <x:c r="K8" s="20"/>
      <x:c r="L8" s="19"/>
      <x:c r="M8" s="19" t="str">
        <x:v>当前企业缺少可用数值；不补零，其他指标仍参与基准计算。</x:v>
      </x:c>
      <x:c r="N8" s="19" t="str">
        <x:v>2026-08-26</x:v>
      </x:c>
      <x:c r="O8" s="33" t="b">
        <x:v>0</x:v>
      </x:c>
      <x:c r="P8" s="19" t="str">
        <x:v>objective-four-20260826:cambricon:R08:risk-score</x:v>
      </x:c>
      <x:c r="Q8" s="19" t="str">
        <x:v>不可评分</x:v>
      </x:c>
    </x:row>
    <x:row r="9" ht="15" hidden="0" customHeight="1">
      <x:c r="A9" s="19" t="str">
        <x:v>客观四企</x:v>
      </x:c>
      <x:c r="B9" s="19" t="str">
        <x:v>寒武纪</x:v>
      </x:c>
      <x:c r="C9" s="19" t="str">
        <x:v>R09</x:v>
      </x:c>
      <x:c r="D9" s="19" t="str">
        <x:v>objective_indicator_risk_score</x:v>
      </x:c>
      <x:c r="E9" s="19" t="str">
        <x:v>IRAWC-CRITIC-2026.08-v2</x:v>
      </x:c>
      <x:c r="F9" s="28" t="n">
        <x:v>47.86</x:v>
      </x:c>
      <x:c r="G9" s="28" t="n">
        <x:v>47.86</x:v>
      </x:c>
      <x:c r="H9" s="19" t="str">
        <x:v>risk-score-0-100</x:v>
      </x:c>
      <x:c r="I9" s="19" t="str">
        <x:v>scored</x:v>
      </x:c>
      <x:c r="J9" s="19" t="str">
        <x:v>validated-from-governed-dataset</x:v>
      </x:c>
      <x:c r="K9" s="20"/>
      <x:c r="L9" s="19"/>
      <x:c r="M9" s="19" t="str">
        <x:v>r_rel=0.4571；r=100×(0.5×0.5+0.5×0.4571)=47.86</x:v>
      </x:c>
      <x:c r="N9" s="19" t="str">
        <x:v>2026-08-26</x:v>
      </x:c>
      <x:c r="O9" s="33" t="b">
        <x:v>1</x:v>
      </x:c>
      <x:c r="P9" s="19" t="str">
        <x:v>objective-four-20260826:cambricon:R09:risk-score</x:v>
      </x:c>
      <x:c r="Q9" s="19" t="str">
        <x:v>已验证</x:v>
      </x:c>
    </x:row>
    <x:row r="10" ht="15" hidden="0" customHeight="1">
      <x:c r="A10" s="19" t="str">
        <x:v>客观四企</x:v>
      </x:c>
      <x:c r="B10" s="19" t="str">
        <x:v>寒武纪</x:v>
      </x:c>
      <x:c r="C10" s="19" t="str">
        <x:v>R10</x:v>
      </x:c>
      <x:c r="D10" s="19" t="str">
        <x:v>objective_indicator_risk_score</x:v>
      </x:c>
      <x:c r="E10" s="19" t="str">
        <x:v>IRAWC-CRITIC-2026.08-v2</x:v>
      </x:c>
      <x:c r="F10" s="28" t="n">
        <x:v>47.22</x:v>
      </x:c>
      <x:c r="G10" s="28" t="n">
        <x:v>47.22</x:v>
      </x:c>
      <x:c r="H10" s="19" t="str">
        <x:v>risk-score-0-100</x:v>
      </x:c>
      <x:c r="I10" s="19" t="str">
        <x:v>scored</x:v>
      </x:c>
      <x:c r="J10" s="19" t="str">
        <x:v>validated-from-governed-dataset</x:v>
      </x:c>
      <x:c r="K10" s="20"/>
      <x:c r="L10" s="19"/>
      <x:c r="M10" s="19" t="str">
        <x:v>r_rel=0.4444；r=100×(0.5×0.5+0.5×0.4444)=47.22</x:v>
      </x:c>
      <x:c r="N10" s="19" t="str">
        <x:v>2026-08-26</x:v>
      </x:c>
      <x:c r="O10" s="33" t="b">
        <x:v>1</x:v>
      </x:c>
      <x:c r="P10" s="19" t="str">
        <x:v>objective-four-20260826:cambricon:R10:risk-score</x:v>
      </x:c>
      <x:c r="Q10" s="19" t="str">
        <x:v>已验证</x:v>
      </x:c>
    </x:row>
    <x:row r="11" ht="15" hidden="0" customHeight="1">
      <x:c r="A11" s="19" t="str">
        <x:v>客观四企</x:v>
      </x:c>
      <x:c r="B11" s="19" t="str">
        <x:v>寒武纪</x:v>
      </x:c>
      <x:c r="C11" s="19" t="str">
        <x:v>R11</x:v>
      </x:c>
      <x:c r="D11" s="19" t="str">
        <x:v>objective_indicator_risk_score</x:v>
      </x:c>
      <x:c r="E11" s="19" t="str">
        <x:v>IRAWC-CRITIC-2026.08-v2</x:v>
      </x:c>
      <x:c r="F11" s="28" t="n">
        <x:v>43.65</x:v>
      </x:c>
      <x:c r="G11" s="28" t="n">
        <x:v>43.65</x:v>
      </x:c>
      <x:c r="H11" s="19" t="str">
        <x:v>risk-score-0-100</x:v>
      </x:c>
      <x:c r="I11" s="19" t="str">
        <x:v>scored</x:v>
      </x:c>
      <x:c r="J11" s="19" t="str">
        <x:v>validated-from-governed-dataset</x:v>
      </x:c>
      <x:c r="K11" s="20"/>
      <x:c r="L11" s="19"/>
      <x:c r="M11" s="19" t="str">
        <x:v>r_rel=0.373；r=100×(0.5×0.5+0.5×0.373)=43.65</x:v>
      </x:c>
      <x:c r="N11" s="19" t="str">
        <x:v>2026-08-26</x:v>
      </x:c>
      <x:c r="O11" s="33" t="b">
        <x:v>1</x:v>
      </x:c>
      <x:c r="P11" s="19" t="str">
        <x:v>objective-four-20260826:cambricon:R11:risk-score</x:v>
      </x:c>
      <x:c r="Q11" s="19" t="str">
        <x:v>已验证</x:v>
      </x:c>
    </x:row>
    <x:row r="12" ht="15" hidden="0" customHeight="1">
      <x:c r="A12" s="19" t="str">
        <x:v>客观四企</x:v>
      </x:c>
      <x:c r="B12" s="19" t="str">
        <x:v>寒武纪</x:v>
      </x:c>
      <x:c r="C12" s="19" t="str">
        <x:v>R12</x:v>
      </x:c>
      <x:c r="D12" s="19" t="str">
        <x:v>objective_indicator_risk_score</x:v>
      </x:c>
      <x:c r="E12" s="19" t="str">
        <x:v>IRAWC-CRITIC-2026.08-v2</x:v>
      </x:c>
      <x:c r="F12" s="28" t="n">
        <x:v>72.22</x:v>
      </x:c>
      <x:c r="G12" s="28" t="n">
        <x:v>72.22</x:v>
      </x:c>
      <x:c r="H12" s="19" t="str">
        <x:v>risk-score-0-100</x:v>
      </x:c>
      <x:c r="I12" s="19" t="str">
        <x:v>scored</x:v>
      </x:c>
      <x:c r="J12" s="19" t="str">
        <x:v>validated-from-governed-dataset</x:v>
      </x:c>
      <x:c r="K12" s="20"/>
      <x:c r="L12" s="19"/>
      <x:c r="M12" s="19" t="str">
        <x:v>r_rel=0.9444；r=100×(0.5×0.5+0.5×0.9444)=72.22</x:v>
      </x:c>
      <x:c r="N12" s="19" t="str">
        <x:v>2026-08-26</x:v>
      </x:c>
      <x:c r="O12" s="33" t="b">
        <x:v>1</x:v>
      </x:c>
      <x:c r="P12" s="19" t="str">
        <x:v>objective-four-20260826:cambricon:R12:risk-score</x:v>
      </x:c>
      <x:c r="Q12" s="19" t="str">
        <x:v>已验证</x:v>
      </x:c>
    </x:row>
    <x:row r="13" ht="15" hidden="0" customHeight="1">
      <x:c r="A13" s="19" t="str">
        <x:v>客观四企</x:v>
      </x:c>
      <x:c r="B13" s="19" t="str">
        <x:v>寒武纪</x:v>
      </x:c>
      <x:c r="C13" s="19" t="str">
        <x:v>R13</x:v>
      </x:c>
      <x:c r="D13" s="19" t="str">
        <x:v>objective_indicator_risk_score</x:v>
      </x:c>
      <x:c r="E13" s="19" t="str">
        <x:v>IRAWC-CRITIC-2026.08-v2</x:v>
      </x:c>
      <x:c r="F13" s="28" t="n">
        <x:v>29.62</x:v>
      </x:c>
      <x:c r="G13" s="28" t="n">
        <x:v>29.62</x:v>
      </x:c>
      <x:c r="H13" s="19" t="str">
        <x:v>risk-score-0-100</x:v>
      </x:c>
      <x:c r="I13" s="19" t="str">
        <x:v>scored</x:v>
      </x:c>
      <x:c r="J13" s="19" t="str">
        <x:v>validated-from-governed-dataset</x:v>
      </x:c>
      <x:c r="K13" s="20"/>
      <x:c r="L13" s="19"/>
      <x:c r="M13" s="19" t="str">
        <x:v>r_rel=0.0923；r=100×(0.5×0.5+0.5×0.0923)=29.62</x:v>
      </x:c>
      <x:c r="N13" s="19" t="str">
        <x:v>2026-08-26</x:v>
      </x:c>
      <x:c r="O13" s="33" t="b">
        <x:v>1</x:v>
      </x:c>
      <x:c r="P13" s="19" t="str">
        <x:v>objective-four-20260826:cambricon:R13:risk-score</x:v>
      </x:c>
      <x:c r="Q13" s="19" t="str">
        <x:v>已验证</x:v>
      </x:c>
    </x:row>
    <x:row r="14" ht="15" hidden="0" customHeight="1">
      <x:c r="A14" s="19" t="str">
        <x:v>客观四企</x:v>
      </x:c>
      <x:c r="B14" s="19" t="str">
        <x:v>寒武纪</x:v>
      </x:c>
      <x:c r="C14" s="19" t="str">
        <x:v>R14</x:v>
      </x:c>
      <x:c r="D14" s="19" t="str">
        <x:v>objective_indicator_risk_score</x:v>
      </x:c>
      <x:c r="E14" s="19" t="str">
        <x:v>IRAWC-CRITIC-2026.08-v2</x:v>
      </x:c>
      <x:c r="F14" s="28" t="n">
        <x:v>31.12</x:v>
      </x:c>
      <x:c r="G14" s="28" t="n">
        <x:v>31.12</x:v>
      </x:c>
      <x:c r="H14" s="19" t="str">
        <x:v>risk-score-0-100</x:v>
      </x:c>
      <x:c r="I14" s="19" t="str">
        <x:v>scored</x:v>
      </x:c>
      <x:c r="J14" s="19" t="str">
        <x:v>validated-from-governed-dataset</x:v>
      </x:c>
      <x:c r="K14" s="20"/>
      <x:c r="L14" s="19"/>
      <x:c r="M14" s="19" t="str">
        <x:v>r_rel=0.1224；r=100×(0.5×0.5+0.5×0.1224)=31.12</x:v>
      </x:c>
      <x:c r="N14" s="19" t="str">
        <x:v>2026-08-26</x:v>
      </x:c>
      <x:c r="O14" s="33" t="b">
        <x:v>1</x:v>
      </x:c>
      <x:c r="P14" s="19" t="str">
        <x:v>objective-four-20260826:cambricon:R14:risk-score</x:v>
      </x:c>
      <x:c r="Q14" s="19" t="str">
        <x:v>已验证</x:v>
      </x:c>
    </x:row>
    <x:row r="15" ht="15" hidden="0" customHeight="1">
      <x:c r="A15" s="19" t="str">
        <x:v>客观四企</x:v>
      </x:c>
      <x:c r="B15" s="19" t="str">
        <x:v>寒武纪</x:v>
      </x:c>
      <x:c r="C15" s="19" t="str">
        <x:v>R15</x:v>
      </x:c>
      <x:c r="D15" s="19" t="str">
        <x:v>objective_indicator_risk_score</x:v>
      </x:c>
      <x:c r="E15" s="19" t="str">
        <x:v>IRAWC-CRITIC-2026.08-v2</x:v>
      </x:c>
      <x:c r="F15" s="28" t="n">
        <x:v>71.16</x:v>
      </x:c>
      <x:c r="G15" s="28" t="n">
        <x:v>71.16</x:v>
      </x:c>
      <x:c r="H15" s="19" t="str">
        <x:v>risk-score-0-100</x:v>
      </x:c>
      <x:c r="I15" s="19" t="str">
        <x:v>scored</x:v>
      </x:c>
      <x:c r="J15" s="19" t="str">
        <x:v>validated-from-governed-dataset</x:v>
      </x:c>
      <x:c r="K15" s="20"/>
      <x:c r="L15" s="19"/>
      <x:c r="M15" s="19" t="str">
        <x:v>r_rel=0.9231；r=100×(0.5×0.5+0.5×0.9231)=71.16</x:v>
      </x:c>
      <x:c r="N15" s="19" t="str">
        <x:v>2026-08-26</x:v>
      </x:c>
      <x:c r="O15" s="33" t="b">
        <x:v>1</x:v>
      </x:c>
      <x:c r="P15" s="19" t="str">
        <x:v>objective-four-20260826:cambricon:R15:risk-score</x:v>
      </x:c>
      <x:c r="Q15" s="19" t="str">
        <x:v>已验证</x:v>
      </x:c>
    </x:row>
    <x:row r="16" ht="15" hidden="0" customHeight="1">
      <x:c r="A16" s="19" t="str">
        <x:v>客观四企</x:v>
      </x:c>
      <x:c r="B16" s="19" t="str">
        <x:v>寒武纪</x:v>
      </x:c>
      <x:c r="C16" s="19" t="str">
        <x:v>R16</x:v>
      </x:c>
      <x:c r="D16" s="19" t="str">
        <x:v>objective_indicator_risk_score</x:v>
      </x:c>
      <x:c r="E16" s="19" t="str">
        <x:v>IRAWC-CRITIC-2026.08-v2</x:v>
      </x:c>
      <x:c r="F16" s="28" t="n">
        <x:v>25.84</x:v>
      </x:c>
      <x:c r="G16" s="28" t="n">
        <x:v>25.84</x:v>
      </x:c>
      <x:c r="H16" s="19" t="str">
        <x:v>risk-score-0-100</x:v>
      </x:c>
      <x:c r="I16" s="19" t="str">
        <x:v>scored</x:v>
      </x:c>
      <x:c r="J16" s="19" t="str">
        <x:v>validated-from-governed-dataset</x:v>
      </x:c>
      <x:c r="K16" s="20"/>
      <x:c r="L16" s="19"/>
      <x:c r="M16" s="19" t="str">
        <x:v>r_rel=0.0167；r=100×(0.5×0.5+0.5×0.0167)=25.84</x:v>
      </x:c>
      <x:c r="N16" s="19" t="str">
        <x:v>2026-08-26</x:v>
      </x:c>
      <x:c r="O16" s="33" t="b">
        <x:v>1</x:v>
      </x:c>
      <x:c r="P16" s="19" t="str">
        <x:v>objective-four-20260826:cambricon:R16:risk-score</x:v>
      </x:c>
      <x:c r="Q16" s="19" t="str">
        <x:v>已验证</x:v>
      </x:c>
    </x:row>
    <x:row r="17" ht="15" hidden="0" customHeight="1">
      <x:c r="A17" s="19" t="str">
        <x:v>客观四企</x:v>
      </x:c>
      <x:c r="B17" s="19" t="str">
        <x:v>寒武纪</x:v>
      </x:c>
      <x:c r="C17" s="19" t="str">
        <x:v>R17</x:v>
      </x:c>
      <x:c r="D17" s="19" t="str">
        <x:v>objective_indicator_risk_score</x:v>
      </x:c>
      <x:c r="E17" s="19" t="str">
        <x:v>IRAWC-CRITIC-2026.08-v2</x:v>
      </x:c>
      <x:c r="F17" s="28" t="n">
        <x:v>40</x:v>
      </x:c>
      <x:c r="G17" s="28" t="n">
        <x:v>40</x:v>
      </x:c>
      <x:c r="H17" s="19" t="str">
        <x:v>risk-score-0-100</x:v>
      </x:c>
      <x:c r="I17" s="19" t="str">
        <x:v>scored</x:v>
      </x:c>
      <x:c r="J17" s="19" t="str">
        <x:v>validated-from-governed-dataset</x:v>
      </x:c>
      <x:c r="K17" s="20"/>
      <x:c r="L17" s="19"/>
      <x:c r="M17" s="19" t="str">
        <x:v>r_rel=0.3；r=100×(0.5×0.5+0.5×0.3)=40</x:v>
      </x:c>
      <x:c r="N17" s="19" t="str">
        <x:v>2026-08-26</x:v>
      </x:c>
      <x:c r="O17" s="33" t="b">
        <x:v>1</x:v>
      </x:c>
      <x:c r="P17" s="19" t="str">
        <x:v>objective-four-20260826:cambricon:R17:risk-score</x:v>
      </x:c>
      <x:c r="Q17" s="19" t="str">
        <x:v>已验证</x:v>
      </x:c>
    </x:row>
    <x:row r="18" ht="15" hidden="0" customHeight="1">
      <x:c r="A18" s="19" t="str">
        <x:v>客观四企</x:v>
      </x:c>
      <x:c r="B18" s="19" t="str">
        <x:v>寒武纪</x:v>
      </x:c>
      <x:c r="C18" s="19" t="str">
        <x:v>R18</x:v>
      </x:c>
      <x:c r="D18" s="19" t="str">
        <x:v>objective_indicator_risk_score</x:v>
      </x:c>
      <x:c r="E18" s="19" t="str">
        <x:v>IRAWC-CRITIC-2026.08-v2</x:v>
      </x:c>
      <x:c r="F18" s="28" t="n">
        <x:v>25</x:v>
      </x:c>
      <x:c r="G18" s="28" t="n">
        <x:v>25</x:v>
      </x:c>
      <x:c r="H18" s="19" t="str">
        <x:v>risk-score-0-100</x:v>
      </x:c>
      <x:c r="I18" s="19" t="str">
        <x:v>scored</x:v>
      </x:c>
      <x:c r="J18" s="19" t="str">
        <x:v>validated-from-governed-dataset</x:v>
      </x:c>
      <x:c r="K18" s="20"/>
      <x:c r="L18" s="19"/>
      <x:c r="M18" s="19" t="str">
        <x:v>r_rel=0；r=100×(0.5×0.5+0.5×0)=25</x:v>
      </x:c>
      <x:c r="N18" s="19" t="str">
        <x:v>2026-08-26</x:v>
      </x:c>
      <x:c r="O18" s="33" t="b">
        <x:v>1</x:v>
      </x:c>
      <x:c r="P18" s="19" t="str">
        <x:v>objective-four-20260826:cambricon:R18:risk-score</x:v>
      </x:c>
      <x:c r="Q18" s="19" t="str">
        <x:v>已验证</x:v>
      </x:c>
    </x:row>
    <x:row r="19" ht="15" hidden="0" customHeight="1">
      <x:c r="A19" s="19" t="str">
        <x:v>客观四企</x:v>
      </x:c>
      <x:c r="B19" s="19" t="str">
        <x:v>寒武纪</x:v>
      </x:c>
      <x:c r="C19" s="19" t="str">
        <x:v>R19</x:v>
      </x:c>
      <x:c r="D19" s="19" t="str">
        <x:v>objective_indicator_risk_score</x:v>
      </x:c>
      <x:c r="E19" s="19" t="str">
        <x:v>IRAWC-CRITIC-2026.08-v2</x:v>
      </x:c>
      <x:c r="F19" s="28" t="n">
        <x:v>73.02</x:v>
      </x:c>
      <x:c r="G19" s="28" t="n">
        <x:v>73.02</x:v>
      </x:c>
      <x:c r="H19" s="19" t="str">
        <x:v>risk-score-0-100</x:v>
      </x:c>
      <x:c r="I19" s="19" t="str">
        <x:v>scored</x:v>
      </x:c>
      <x:c r="J19" s="19" t="str">
        <x:v>validated-from-governed-dataset</x:v>
      </x:c>
      <x:c r="K19" s="20"/>
      <x:c r="L19" s="19"/>
      <x:c r="M19" s="19" t="str">
        <x:v>r_rel=0.9603；r=100×(0.5×0.5+0.5×0.9603)=73.02</x:v>
      </x:c>
      <x:c r="N19" s="19" t="str">
        <x:v>2026-08-26</x:v>
      </x:c>
      <x:c r="O19" s="33" t="b">
        <x:v>1</x:v>
      </x:c>
      <x:c r="P19" s="19" t="str">
        <x:v>objective-four-20260826:cambricon:R19:risk-score</x:v>
      </x:c>
      <x:c r="Q19" s="19" t="str">
        <x:v>已验证</x:v>
      </x:c>
    </x:row>
    <x:row r="20" ht="15" hidden="0" customHeight="1">
      <x:c r="A20" s="19" t="str">
        <x:v>客观四企</x:v>
      </x:c>
      <x:c r="B20" s="19" t="str">
        <x:v>寒武纪</x:v>
      </x:c>
      <x:c r="C20" s="19" t="str">
        <x:v>R20</x:v>
      </x:c>
      <x:c r="D20" s="19" t="str">
        <x:v>objective_indicator_risk_score</x:v>
      </x:c>
      <x:c r="E20" s="19" t="str">
        <x:v>IRAWC-CRITIC-2026.08-v2</x:v>
      </x:c>
      <x:c r="F20" s="28"/>
      <x:c r="G20" s="28"/>
      <x:c r="H20" s="19" t="str">
        <x:v>risk-score-0-100</x:v>
      </x:c>
      <x:c r="I20" s="19" t="str">
        <x:v>missing</x:v>
      </x:c>
      <x:c r="J20" s="19" t="str">
        <x:v>missing</x:v>
      </x:c>
      <x:c r="K20" s="20"/>
      <x:c r="L20" s="19"/>
      <x:c r="M20" s="19" t="str">
        <x:v>当前企业缺少可用数值；不补零，其他指标仍参与基准计算。</x:v>
      </x:c>
      <x:c r="N20" s="19" t="str">
        <x:v>2026-08-26</x:v>
      </x:c>
      <x:c r="O20" s="33" t="b">
        <x:v>0</x:v>
      </x:c>
      <x:c r="P20" s="19" t="str">
        <x:v>objective-four-20260826:cambricon:R20:risk-score</x:v>
      </x:c>
      <x:c r="Q20" s="19" t="str">
        <x:v>不可评分</x:v>
      </x:c>
    </x:row>
    <x:row r="21" ht="15" hidden="0" customHeight="1">
      <x:c r="A21" s="19" t="str">
        <x:v>客观四企</x:v>
      </x:c>
      <x:c r="B21" s="19" t="str">
        <x:v>寒武纪</x:v>
      </x:c>
      <x:c r="C21" s="19" t="str">
        <x:v>R21</x:v>
      </x:c>
      <x:c r="D21" s="19" t="str">
        <x:v>objective_indicator_risk_score</x:v>
      </x:c>
      <x:c r="E21" s="19" t="str">
        <x:v>IRAWC-CRITIC-2026.08-v2</x:v>
      </x:c>
      <x:c r="F21" s="28" t="n">
        <x:v>68.05</x:v>
      </x:c>
      <x:c r="G21" s="28" t="n">
        <x:v>68.05</x:v>
      </x:c>
      <x:c r="H21" s="19" t="str">
        <x:v>risk-score-0-100</x:v>
      </x:c>
      <x:c r="I21" s="19" t="str">
        <x:v>scored</x:v>
      </x:c>
      <x:c r="J21" s="19" t="str">
        <x:v>validated-from-governed-dataset</x:v>
      </x:c>
      <x:c r="K21" s="20"/>
      <x:c r="L21" s="19"/>
      <x:c r="M21" s="19" t="str">
        <x:v>r_rel=0.8611；r=100×(0.5×0.5+0.5×0.8611)=68.05</x:v>
      </x:c>
      <x:c r="N21" s="19" t="str">
        <x:v>2026-08-26</x:v>
      </x:c>
      <x:c r="O21" s="33" t="b">
        <x:v>1</x:v>
      </x:c>
      <x:c r="P21" s="19" t="str">
        <x:v>objective-four-20260826:cambricon:R21:risk-score</x:v>
      </x:c>
      <x:c r="Q21" s="19" t="str">
        <x:v>已验证</x:v>
      </x:c>
    </x:row>
    <x:row r="22" ht="15" hidden="0" customHeight="1">
      <x:c r="A22" s="19" t="str">
        <x:v>客观四企</x:v>
      </x:c>
      <x:c r="B22" s="19" t="str">
        <x:v>寒武纪</x:v>
      </x:c>
      <x:c r="C22" s="19" t="str">
        <x:v>R22</x:v>
      </x:c>
      <x:c r="D22" s="19" t="str">
        <x:v>objective_indicator_risk_score</x:v>
      </x:c>
      <x:c r="E22" s="19" t="str">
        <x:v>IRAWC-CRITIC-2026.08-v2</x:v>
      </x:c>
      <x:c r="F22" s="28" t="n">
        <x:v>48.38</x:v>
      </x:c>
      <x:c r="G22" s="28" t="n">
        <x:v>48.38</x:v>
      </x:c>
      <x:c r="H22" s="19" t="str">
        <x:v>risk-score-0-100</x:v>
      </x:c>
      <x:c r="I22" s="19" t="str">
        <x:v>scored</x:v>
      </x:c>
      <x:c r="J22" s="19" t="str">
        <x:v>validated-from-governed-dataset</x:v>
      </x:c>
      <x:c r="K22" s="20"/>
      <x:c r="L22" s="19"/>
      <x:c r="M22" s="19" t="str">
        <x:v>r_rel=0.4677；r=100×(0.5×0.5+0.5×0.4677)=48.38</x:v>
      </x:c>
      <x:c r="N22" s="19" t="str">
        <x:v>2026-08-26</x:v>
      </x:c>
      <x:c r="O22" s="33" t="b">
        <x:v>1</x:v>
      </x:c>
      <x:c r="P22" s="19" t="str">
        <x:v>objective-four-20260826:cambricon:R22:risk-score</x:v>
      </x:c>
      <x:c r="Q22" s="19" t="str">
        <x:v>已验证</x:v>
      </x:c>
    </x:row>
    <x:row r="23" ht="15" hidden="0" customHeight="1">
      <x:c r="A23" s="19" t="str">
        <x:v>客观四企</x:v>
      </x:c>
      <x:c r="B23" s="19" t="str">
        <x:v>燧原科技</x:v>
      </x:c>
      <x:c r="C23" s="19" t="str">
        <x:v>R05</x:v>
      </x:c>
      <x:c r="D23" s="19" t="str">
        <x:v>objective_indicator_risk_score</x:v>
      </x:c>
      <x:c r="E23" s="19" t="str">
        <x:v>IRAWC-CRITIC-2026.08-v2</x:v>
      </x:c>
      <x:c r="F23" s="28" t="n">
        <x:v>50</x:v>
      </x:c>
      <x:c r="G23" s="28" t="n">
        <x:v>50</x:v>
      </x:c>
      <x:c r="H23" s="19" t="str">
        <x:v>risk-score-0-100</x:v>
      </x:c>
      <x:c r="I23" s="19" t="str">
        <x:v>scored</x:v>
      </x:c>
      <x:c r="J23" s="19" t="str">
        <x:v>validated-from-governed-dataset</x:v>
      </x:c>
      <x:c r="K23" s="20"/>
      <x:c r="L23" s="19"/>
      <x:c r="M23" s="19" t="str">
        <x:v>r_rel=0.5；r=100×(0.5×0.5+0.5×0.5)=50</x:v>
      </x:c>
      <x:c r="N23" s="19" t="str">
        <x:v>2026-08-26</x:v>
      </x:c>
      <x:c r="O23" s="33" t="b">
        <x:v>1</x:v>
      </x:c>
      <x:c r="P23" s="19" t="str">
        <x:v>objective-four-20260826:enflame:R05:risk-score</x:v>
      </x:c>
      <x:c r="Q23" s="19" t="str">
        <x:v>已验证</x:v>
      </x:c>
    </x:row>
    <x:row r="24" ht="15" hidden="0" customHeight="1">
      <x:c r="A24" s="19" t="str">
        <x:v>客观四企</x:v>
      </x:c>
      <x:c r="B24" s="19" t="str">
        <x:v>燧原科技</x:v>
      </x:c>
      <x:c r="C24" s="19" t="str">
        <x:v>R06</x:v>
      </x:c>
      <x:c r="D24" s="19" t="str">
        <x:v>objective_indicator_risk_score</x:v>
      </x:c>
      <x:c r="E24" s="19" t="str">
        <x:v>IRAWC-CRITIC-2026.08-v2</x:v>
      </x:c>
      <x:c r="F24" s="28" t="n">
        <x:v>32.69</x:v>
      </x:c>
      <x:c r="G24" s="28" t="n">
        <x:v>32.69</x:v>
      </x:c>
      <x:c r="H24" s="19" t="str">
        <x:v>risk-score-0-100</x:v>
      </x:c>
      <x:c r="I24" s="19" t="str">
        <x:v>scored</x:v>
      </x:c>
      <x:c r="J24" s="19" t="str">
        <x:v>validated-from-governed-dataset</x:v>
      </x:c>
      <x:c r="K24" s="20"/>
      <x:c r="L24" s="19"/>
      <x:c r="M24" s="19" t="str">
        <x:v>r_rel=0.1538；r=100×(0.5×0.5+0.5×0.1538)=32.69</x:v>
      </x:c>
      <x:c r="N24" s="19" t="str">
        <x:v>2026-08-26</x:v>
      </x:c>
      <x:c r="O24" s="33" t="b">
        <x:v>1</x:v>
      </x:c>
      <x:c r="P24" s="19" t="str">
        <x:v>objective-four-20260826:enflame:R06:risk-score</x:v>
      </x:c>
      <x:c r="Q24" s="19" t="str">
        <x:v>已验证</x:v>
      </x:c>
    </x:row>
    <x:row r="25" ht="15" hidden="0" customHeight="1">
      <x:c r="A25" s="19" t="str">
        <x:v>客观四企</x:v>
      </x:c>
      <x:c r="B25" s="19" t="str">
        <x:v>燧原科技</x:v>
      </x:c>
      <x:c r="C25" s="19" t="str">
        <x:v>R07</x:v>
      </x:c>
      <x:c r="D25" s="19" t="str">
        <x:v>objective_indicator_risk_score</x:v>
      </x:c>
      <x:c r="E25" s="19" t="str">
        <x:v>IRAWC-CRITIC-2026.08-v2</x:v>
      </x:c>
      <x:c r="F25" s="28" t="n">
        <x:v>25</x:v>
      </x:c>
      <x:c r="G25" s="28" t="n">
        <x:v>25</x:v>
      </x:c>
      <x:c r="H25" s="19" t="str">
        <x:v>risk-score-0-100</x:v>
      </x:c>
      <x:c r="I25" s="19" t="str">
        <x:v>scored</x:v>
      </x:c>
      <x:c r="J25" s="19" t="str">
        <x:v>validated-from-governed-dataset</x:v>
      </x:c>
      <x:c r="K25" s="20"/>
      <x:c r="L25" s="19"/>
      <x:c r="M25" s="19" t="str">
        <x:v>r_rel=0；r=100×(0.5×0.5+0.5×0)=25</x:v>
      </x:c>
      <x:c r="N25" s="19" t="str">
        <x:v>2026-08-26</x:v>
      </x:c>
      <x:c r="O25" s="33" t="b">
        <x:v>1</x:v>
      </x:c>
      <x:c r="P25" s="19" t="str">
        <x:v>objective-four-20260826:enflame:R07:risk-score</x:v>
      </x:c>
      <x:c r="Q25" s="19" t="str">
        <x:v>已验证</x:v>
      </x:c>
    </x:row>
    <x:row r="26" ht="15" hidden="0" customHeight="1">
      <x:c r="A26" s="19" t="str">
        <x:v>客观四企</x:v>
      </x:c>
      <x:c r="B26" s="19" t="str">
        <x:v>燧原科技</x:v>
      </x:c>
      <x:c r="C26" s="19" t="str">
        <x:v>R08</x:v>
      </x:c>
      <x:c r="D26" s="19" t="str">
        <x:v>objective_indicator_risk_score</x:v>
      </x:c>
      <x:c r="E26" s="19" t="str">
        <x:v>IRAWC-CRITIC-2026.08-v2</x:v>
      </x:c>
      <x:c r="F26" s="28"/>
      <x:c r="G26" s="28"/>
      <x:c r="H26" s="19" t="str">
        <x:v>risk-score-0-100</x:v>
      </x:c>
      <x:c r="I26" s="19" t="str">
        <x:v>missing</x:v>
      </x:c>
      <x:c r="J26" s="19" t="str">
        <x:v>missing</x:v>
      </x:c>
      <x:c r="K26" s="20"/>
      <x:c r="L26" s="19"/>
      <x:c r="M26" s="19" t="str">
        <x:v>当前企业缺少可用数值；不补零，其他指标仍参与基准计算。</x:v>
      </x:c>
      <x:c r="N26" s="19" t="str">
        <x:v>2026-08-26</x:v>
      </x:c>
      <x:c r="O26" s="33" t="b">
        <x:v>0</x:v>
      </x:c>
      <x:c r="P26" s="19" t="str">
        <x:v>objective-four-20260826:enflame:R08:risk-score</x:v>
      </x:c>
      <x:c r="Q26" s="19" t="str">
        <x:v>不可评分</x:v>
      </x:c>
    </x:row>
    <x:row r="27" ht="15" hidden="0" customHeight="1">
      <x:c r="A27" s="19" t="str">
        <x:v>客观四企</x:v>
      </x:c>
      <x:c r="B27" s="19" t="str">
        <x:v>燧原科技</x:v>
      </x:c>
      <x:c r="C27" s="19" t="str">
        <x:v>R09</x:v>
      </x:c>
      <x:c r="D27" s="19" t="str">
        <x:v>objective_indicator_risk_score</x:v>
      </x:c>
      <x:c r="E27" s="19" t="str">
        <x:v>IRAWC-CRITIC-2026.08-v2</x:v>
      </x:c>
      <x:c r="F27" s="28"/>
      <x:c r="G27" s="28"/>
      <x:c r="H27" s="19" t="str">
        <x:v>risk-score-0-100</x:v>
      </x:c>
      <x:c r="I27" s="19" t="str">
        <x:v>missing</x:v>
      </x:c>
      <x:c r="J27" s="19" t="str">
        <x:v>missing</x:v>
      </x:c>
      <x:c r="K27" s="20"/>
      <x:c r="L27" s="19"/>
      <x:c r="M27" s="19" t="str">
        <x:v>当前企业缺少可用数值；不补零，其他指标仍参与基准计算。</x:v>
      </x:c>
      <x:c r="N27" s="19" t="str">
        <x:v>2026-08-26</x:v>
      </x:c>
      <x:c r="O27" s="33" t="b">
        <x:v>0</x:v>
      </x:c>
      <x:c r="P27" s="19" t="str">
        <x:v>objective-four-20260826:enflame:R09:risk-score</x:v>
      </x:c>
      <x:c r="Q27" s="19" t="str">
        <x:v>不可评分</x:v>
      </x:c>
    </x:row>
    <x:row r="28" ht="15" hidden="0" customHeight="1">
      <x:c r="A28" s="19" t="str">
        <x:v>客观四企</x:v>
      </x:c>
      <x:c r="B28" s="19" t="str">
        <x:v>燧原科技</x:v>
      </x:c>
      <x:c r="C28" s="19" t="str">
        <x:v>R10</x:v>
      </x:c>
      <x:c r="D28" s="19" t="str">
        <x:v>objective_indicator_risk_score</x:v>
      </x:c>
      <x:c r="E28" s="19" t="str">
        <x:v>IRAWC-CRITIC-2026.08-v2</x:v>
      </x:c>
      <x:c r="F28" s="28" t="n">
        <x:v>25</x:v>
      </x:c>
      <x:c r="G28" s="28" t="n">
        <x:v>25</x:v>
      </x:c>
      <x:c r="H28" s="19" t="str">
        <x:v>risk-score-0-100</x:v>
      </x:c>
      <x:c r="I28" s="19" t="str">
        <x:v>scored</x:v>
      </x:c>
      <x:c r="J28" s="19" t="str">
        <x:v>validated-from-governed-dataset</x:v>
      </x:c>
      <x:c r="K28" s="20"/>
      <x:c r="L28" s="19"/>
      <x:c r="M28" s="19" t="str">
        <x:v>r_rel=0；r=100×(0.5×0.5+0.5×0)=25</x:v>
      </x:c>
      <x:c r="N28" s="19" t="str">
        <x:v>2026-08-26</x:v>
      </x:c>
      <x:c r="O28" s="33" t="b">
        <x:v>1</x:v>
      </x:c>
      <x:c r="P28" s="19" t="str">
        <x:v>objective-four-20260826:enflame:R10:risk-score</x:v>
      </x:c>
      <x:c r="Q28" s="19" t="str">
        <x:v>已验证</x:v>
      </x:c>
    </x:row>
    <x:row r="29" ht="15" hidden="0" customHeight="1">
      <x:c r="A29" s="19" t="str">
        <x:v>客观四企</x:v>
      </x:c>
      <x:c r="B29" s="19" t="str">
        <x:v>燧原科技</x:v>
      </x:c>
      <x:c r="C29" s="19" t="str">
        <x:v>R11</x:v>
      </x:c>
      <x:c r="D29" s="19" t="str">
        <x:v>objective_indicator_risk_score</x:v>
      </x:c>
      <x:c r="E29" s="19" t="str">
        <x:v>IRAWC-CRITIC-2026.08-v2</x:v>
      </x:c>
      <x:c r="F29" s="28"/>
      <x:c r="G29" s="28"/>
      <x:c r="H29" s="19" t="str">
        <x:v>risk-score-0-100</x:v>
      </x:c>
      <x:c r="I29" s="19" t="str">
        <x:v>missing</x:v>
      </x:c>
      <x:c r="J29" s="19" t="str">
        <x:v>missing</x:v>
      </x:c>
      <x:c r="K29" s="20"/>
      <x:c r="L29" s="19"/>
      <x:c r="M29" s="19" t="str">
        <x:v>当前企业缺少可用数值；不补零，其他指标仍参与基准计算。</x:v>
      </x:c>
      <x:c r="N29" s="19" t="str">
        <x:v>2026-08-26</x:v>
      </x:c>
      <x:c r="O29" s="33" t="b">
        <x:v>0</x:v>
      </x:c>
      <x:c r="P29" s="19" t="str">
        <x:v>objective-four-20260826:enflame:R11:risk-score</x:v>
      </x:c>
      <x:c r="Q29" s="19" t="str">
        <x:v>不可评分</x:v>
      </x:c>
    </x:row>
    <x:row r="30" ht="15" hidden="0" customHeight="1">
      <x:c r="A30" s="19" t="str">
        <x:v>客观四企</x:v>
      </x:c>
      <x:c r="B30" s="19" t="str">
        <x:v>燧原科技</x:v>
      </x:c>
      <x:c r="C30" s="19" t="str">
        <x:v>R12</x:v>
      </x:c>
      <x:c r="D30" s="19" t="str">
        <x:v>objective_indicator_risk_score</x:v>
      </x:c>
      <x:c r="E30" s="19" t="str">
        <x:v>IRAWC-CRITIC-2026.08-v2</x:v>
      </x:c>
      <x:c r="F30" s="28" t="n">
        <x:v>50</x:v>
      </x:c>
      <x:c r="G30" s="28" t="n">
        <x:v>50</x:v>
      </x:c>
      <x:c r="H30" s="19" t="str">
        <x:v>risk-score-0-100</x:v>
      </x:c>
      <x:c r="I30" s="19" t="str">
        <x:v>scored</x:v>
      </x:c>
      <x:c r="J30" s="19" t="str">
        <x:v>validated-from-governed-dataset</x:v>
      </x:c>
      <x:c r="K30" s="20"/>
      <x:c r="L30" s="19"/>
      <x:c r="M30" s="19" t="str">
        <x:v>r_rel=0.5；r=100×(0.5×0.5+0.5×0.5)=50</x:v>
      </x:c>
      <x:c r="N30" s="19" t="str">
        <x:v>2026-08-26</x:v>
      </x:c>
      <x:c r="O30" s="33" t="b">
        <x:v>1</x:v>
      </x:c>
      <x:c r="P30" s="19" t="str">
        <x:v>objective-four-20260826:enflame:R12:risk-score</x:v>
      </x:c>
      <x:c r="Q30" s="19" t="str">
        <x:v>已验证</x:v>
      </x:c>
    </x:row>
    <x:row r="31" ht="15" hidden="0" customHeight="1">
      <x:c r="A31" s="19" t="str">
        <x:v>客观四企</x:v>
      </x:c>
      <x:c r="B31" s="19" t="str">
        <x:v>燧原科技</x:v>
      </x:c>
      <x:c r="C31" s="19" t="str">
        <x:v>R13</x:v>
      </x:c>
      <x:c r="D31" s="19" t="str">
        <x:v>objective_indicator_risk_score</x:v>
      </x:c>
      <x:c r="E31" s="19" t="str">
        <x:v>IRAWC-CRITIC-2026.08-v2</x:v>
      </x:c>
      <x:c r="F31" s="28" t="n">
        <x:v>45</x:v>
      </x:c>
      <x:c r="G31" s="28" t="n">
        <x:v>45</x:v>
      </x:c>
      <x:c r="H31" s="19" t="str">
        <x:v>risk-score-0-100</x:v>
      </x:c>
      <x:c r="I31" s="19" t="str">
        <x:v>scored</x:v>
      </x:c>
      <x:c r="J31" s="19" t="str">
        <x:v>validated-from-governed-dataset</x:v>
      </x:c>
      <x:c r="K31" s="20"/>
      <x:c r="L31" s="19"/>
      <x:c r="M31" s="19" t="str">
        <x:v>r_rel=0.4；r=100×(0.5×0.5+0.5×0.4)=45</x:v>
      </x:c>
      <x:c r="N31" s="19" t="str">
        <x:v>2026-08-26</x:v>
      </x:c>
      <x:c r="O31" s="33" t="b">
        <x:v>1</x:v>
      </x:c>
      <x:c r="P31" s="19" t="str">
        <x:v>objective-four-20260826:enflame:R13:risk-score</x:v>
      </x:c>
      <x:c r="Q31" s="19" t="str">
        <x:v>已验证</x:v>
      </x:c>
    </x:row>
    <x:row r="32" ht="15" hidden="0" customHeight="1">
      <x:c r="A32" s="19" t="str">
        <x:v>客观四企</x:v>
      </x:c>
      <x:c r="B32" s="19" t="str">
        <x:v>燧原科技</x:v>
      </x:c>
      <x:c r="C32" s="19" t="str">
        <x:v>R14</x:v>
      </x:c>
      <x:c r="D32" s="19" t="str">
        <x:v>objective_indicator_risk_score</x:v>
      </x:c>
      <x:c r="E32" s="19" t="str">
        <x:v>IRAWC-CRITIC-2026.08-v2</x:v>
      </x:c>
      <x:c r="F32" s="28" t="n">
        <x:v>67.31</x:v>
      </x:c>
      <x:c r="G32" s="28" t="n">
        <x:v>67.31</x:v>
      </x:c>
      <x:c r="H32" s="19" t="str">
        <x:v>risk-score-0-100</x:v>
      </x:c>
      <x:c r="I32" s="19" t="str">
        <x:v>scored</x:v>
      </x:c>
      <x:c r="J32" s="19" t="str">
        <x:v>validated-from-governed-dataset</x:v>
      </x:c>
      <x:c r="K32" s="20"/>
      <x:c r="L32" s="19"/>
      <x:c r="M32" s="19" t="str">
        <x:v>r_rel=0.8462；r=100×(0.5×0.5+0.5×0.8462)=67.31</x:v>
      </x:c>
      <x:c r="N32" s="19" t="str">
        <x:v>2026-08-26</x:v>
      </x:c>
      <x:c r="O32" s="33" t="b">
        <x:v>1</x:v>
      </x:c>
      <x:c r="P32" s="19" t="str">
        <x:v>objective-four-20260826:enflame:R14:risk-score</x:v>
      </x:c>
      <x:c r="Q32" s="19" t="str">
        <x:v>已验证</x:v>
      </x:c>
    </x:row>
    <x:row r="33" ht="15" hidden="0" customHeight="1">
      <x:c r="A33" s="19" t="str">
        <x:v>客观四企</x:v>
      </x:c>
      <x:c r="B33" s="19" t="str">
        <x:v>燧原科技</x:v>
      </x:c>
      <x:c r="C33" s="19" t="str">
        <x:v>R15</x:v>
      </x:c>
      <x:c r="D33" s="19" t="str">
        <x:v>objective_indicator_risk_score</x:v>
      </x:c>
      <x:c r="E33" s="19" t="str">
        <x:v>IRAWC-CRITIC-2026.08-v2</x:v>
      </x:c>
      <x:c r="F33" s="28" t="n">
        <x:v>75</x:v>
      </x:c>
      <x:c r="G33" s="28" t="n">
        <x:v>75</x:v>
      </x:c>
      <x:c r="H33" s="19" t="str">
        <x:v>risk-score-0-100</x:v>
      </x:c>
      <x:c r="I33" s="19" t="str">
        <x:v>scored</x:v>
      </x:c>
      <x:c r="J33" s="19" t="str">
        <x:v>validated-from-governed-dataset</x:v>
      </x:c>
      <x:c r="K33" s="20"/>
      <x:c r="L33" s="19"/>
      <x:c r="M33" s="19" t="str">
        <x:v>r_rel=1；r=100×(0.5×0.5+0.5×1)=75</x:v>
      </x:c>
      <x:c r="N33" s="19" t="str">
        <x:v>2026-08-26</x:v>
      </x:c>
      <x:c r="O33" s="33" t="b">
        <x:v>1</x:v>
      </x:c>
      <x:c r="P33" s="19" t="str">
        <x:v>objective-four-20260826:enflame:R15:risk-score</x:v>
      </x:c>
      <x:c r="Q33" s="19" t="str">
        <x:v>已验证</x:v>
      </x:c>
    </x:row>
    <x:row r="34" ht="15" hidden="0" customHeight="1">
      <x:c r="A34" s="19" t="str">
        <x:v>客观四企</x:v>
      </x:c>
      <x:c r="B34" s="19" t="str">
        <x:v>燧原科技</x:v>
      </x:c>
      <x:c r="C34" s="19" t="str">
        <x:v>R16</x:v>
      </x:c>
      <x:c r="D34" s="19" t="str">
        <x:v>objective_indicator_risk_score</x:v>
      </x:c>
      <x:c r="E34" s="19" t="str">
        <x:v>IRAWC-CRITIC-2026.08-v2</x:v>
      </x:c>
      <x:c r="F34" s="28" t="n">
        <x:v>69.16</x:v>
      </x:c>
      <x:c r="G34" s="28" t="n">
        <x:v>69.16</x:v>
      </x:c>
      <x:c r="H34" s="19" t="str">
        <x:v>risk-score-0-100</x:v>
      </x:c>
      <x:c r="I34" s="19" t="str">
        <x:v>scored</x:v>
      </x:c>
      <x:c r="J34" s="19" t="str">
        <x:v>validated-from-governed-dataset</x:v>
      </x:c>
      <x:c r="K34" s="20"/>
      <x:c r="L34" s="19"/>
      <x:c r="M34" s="19" t="str">
        <x:v>r_rel=0.8833；r=100×(0.5×0.5+0.5×0.8833)=69.16</x:v>
      </x:c>
      <x:c r="N34" s="19" t="str">
        <x:v>2026-08-26</x:v>
      </x:c>
      <x:c r="O34" s="33" t="b">
        <x:v>1</x:v>
      </x:c>
      <x:c r="P34" s="19" t="str">
        <x:v>objective-four-20260826:enflame:R16:risk-score</x:v>
      </x:c>
      <x:c r="Q34" s="19" t="str">
        <x:v>已验证</x:v>
      </x:c>
    </x:row>
    <x:row r="35" ht="15" hidden="0" customHeight="1">
      <x:c r="A35" s="19" t="str">
        <x:v>客观四企</x:v>
      </x:c>
      <x:c r="B35" s="19" t="str">
        <x:v>燧原科技</x:v>
      </x:c>
      <x:c r="C35" s="19" t="str">
        <x:v>R17</x:v>
      </x:c>
      <x:c r="D35" s="19" t="str">
        <x:v>objective_indicator_risk_score</x:v>
      </x:c>
      <x:c r="E35" s="19" t="str">
        <x:v>IRAWC-CRITIC-2026.08-v2</x:v>
      </x:c>
      <x:c r="F35" s="28"/>
      <x:c r="G35" s="28"/>
      <x:c r="H35" s="19" t="str">
        <x:v>risk-score-0-100</x:v>
      </x:c>
      <x:c r="I35" s="19" t="str">
        <x:v>missing</x:v>
      </x:c>
      <x:c r="J35" s="19" t="str">
        <x:v>missing</x:v>
      </x:c>
      <x:c r="K35" s="20"/>
      <x:c r="L35" s="19"/>
      <x:c r="M35" s="19" t="str">
        <x:v>当前企业缺少可用数值；不补零，其他指标仍参与基准计算。</x:v>
      </x:c>
      <x:c r="N35" s="19" t="str">
        <x:v>2026-08-26</x:v>
      </x:c>
      <x:c r="O35" s="33" t="b">
        <x:v>0</x:v>
      </x:c>
      <x:c r="P35" s="19" t="str">
        <x:v>objective-four-20260826:enflame:R17:risk-score</x:v>
      </x:c>
      <x:c r="Q35" s="19" t="str">
        <x:v>不可评分</x:v>
      </x:c>
    </x:row>
    <x:row r="36" ht="15" hidden="0" customHeight="1">
      <x:c r="A36" s="19" t="str">
        <x:v>客观四企</x:v>
      </x:c>
      <x:c r="B36" s="19" t="str">
        <x:v>燧原科技</x:v>
      </x:c>
      <x:c r="C36" s="19" t="str">
        <x:v>R18</x:v>
      </x:c>
      <x:c r="D36" s="19" t="str">
        <x:v>objective_indicator_risk_score</x:v>
      </x:c>
      <x:c r="E36" s="19" t="str">
        <x:v>IRAWC-CRITIC-2026.08-v2</x:v>
      </x:c>
      <x:c r="F36" s="28"/>
      <x:c r="G36" s="28"/>
      <x:c r="H36" s="19" t="str">
        <x:v>risk-score-0-100</x:v>
      </x:c>
      <x:c r="I36" s="19" t="str">
        <x:v>missing</x:v>
      </x:c>
      <x:c r="J36" s="19" t="str">
        <x:v>missing</x:v>
      </x:c>
      <x:c r="K36" s="20"/>
      <x:c r="L36" s="19"/>
      <x:c r="M36" s="19" t="str">
        <x:v>当前企业缺少可用数值；不补零，其他指标仍参与基准计算。</x:v>
      </x:c>
      <x:c r="N36" s="19" t="str">
        <x:v>2026-08-26</x:v>
      </x:c>
      <x:c r="O36" s="33" t="b">
        <x:v>0</x:v>
      </x:c>
      <x:c r="P36" s="19" t="str">
        <x:v>objective-four-20260826:enflame:R18:risk-score</x:v>
      </x:c>
      <x:c r="Q36" s="19" t="str">
        <x:v>不可评分</x:v>
      </x:c>
    </x:row>
    <x:row r="37" ht="15" hidden="0" customHeight="1">
      <x:c r="A37" s="19" t="str">
        <x:v>客观四企</x:v>
      </x:c>
      <x:c r="B37" s="19" t="str">
        <x:v>燧原科技</x:v>
      </x:c>
      <x:c r="C37" s="19" t="str">
        <x:v>R19</x:v>
      </x:c>
      <x:c r="D37" s="19" t="str">
        <x:v>objective_indicator_risk_score</x:v>
      </x:c>
      <x:c r="E37" s="19" t="str">
        <x:v>IRAWC-CRITIC-2026.08-v2</x:v>
      </x:c>
      <x:c r="F37" s="28"/>
      <x:c r="G37" s="28"/>
      <x:c r="H37" s="19" t="str">
        <x:v>risk-score-0-100</x:v>
      </x:c>
      <x:c r="I37" s="19" t="str">
        <x:v>missing</x:v>
      </x:c>
      <x:c r="J37" s="19" t="str">
        <x:v>missing</x:v>
      </x:c>
      <x:c r="K37" s="20"/>
      <x:c r="L37" s="19"/>
      <x:c r="M37" s="19" t="str">
        <x:v>当前企业缺少可用数值；不补零，其他指标仍参与基准计算。</x:v>
      </x:c>
      <x:c r="N37" s="19" t="str">
        <x:v>2026-08-26</x:v>
      </x:c>
      <x:c r="O37" s="33" t="b">
        <x:v>0</x:v>
      </x:c>
      <x:c r="P37" s="19" t="str">
        <x:v>objective-four-20260826:enflame:R19:risk-score</x:v>
      </x:c>
      <x:c r="Q37" s="19" t="str">
        <x:v>不可评分</x:v>
      </x:c>
    </x:row>
    <x:row r="38" ht="15" hidden="0" customHeight="1">
      <x:c r="A38" s="19" t="str">
        <x:v>客观四企</x:v>
      </x:c>
      <x:c r="B38" s="19" t="str">
        <x:v>燧原科技</x:v>
      </x:c>
      <x:c r="C38" s="19" t="str">
        <x:v>R20</x:v>
      </x:c>
      <x:c r="D38" s="19" t="str">
        <x:v>objective_indicator_risk_score</x:v>
      </x:c>
      <x:c r="E38" s="19" t="str">
        <x:v>IRAWC-CRITIC-2026.08-v2</x:v>
      </x:c>
      <x:c r="F38" s="28"/>
      <x:c r="G38" s="28"/>
      <x:c r="H38" s="19" t="str">
        <x:v>risk-score-0-100</x:v>
      </x:c>
      <x:c r="I38" s="19" t="str">
        <x:v>missing</x:v>
      </x:c>
      <x:c r="J38" s="19" t="str">
        <x:v>missing</x:v>
      </x:c>
      <x:c r="K38" s="20"/>
      <x:c r="L38" s="19"/>
      <x:c r="M38" s="19" t="str">
        <x:v>当前企业缺少可用数值；不补零，其他指标仍参与基准计算。</x:v>
      </x:c>
      <x:c r="N38" s="19" t="str">
        <x:v>2026-08-26</x:v>
      </x:c>
      <x:c r="O38" s="33" t="b">
        <x:v>0</x:v>
      </x:c>
      <x:c r="P38" s="19" t="str">
        <x:v>objective-four-20260826:enflame:R20:risk-score</x:v>
      </x:c>
      <x:c r="Q38" s="19" t="str">
        <x:v>不可评分</x:v>
      </x:c>
    </x:row>
    <x:row r="39" ht="15" hidden="0" customHeight="1">
      <x:c r="A39" s="19" t="str">
        <x:v>客观四企</x:v>
      </x:c>
      <x:c r="B39" s="19" t="str">
        <x:v>燧原科技</x:v>
      </x:c>
      <x:c r="C39" s="19" t="str">
        <x:v>R21</x:v>
      </x:c>
      <x:c r="D39" s="19" t="str">
        <x:v>objective_indicator_risk_score</x:v>
      </x:c>
      <x:c r="E39" s="19" t="str">
        <x:v>IRAWC-CRITIC-2026.08-v2</x:v>
      </x:c>
      <x:c r="F39" s="28"/>
      <x:c r="G39" s="28"/>
      <x:c r="H39" s="19" t="str">
        <x:v>risk-score-0-100</x:v>
      </x:c>
      <x:c r="I39" s="19" t="str">
        <x:v>missing</x:v>
      </x:c>
      <x:c r="J39" s="19" t="str">
        <x:v>missing</x:v>
      </x:c>
      <x:c r="K39" s="20"/>
      <x:c r="L39" s="19"/>
      <x:c r="M39" s="19" t="str">
        <x:v>当前企业缺少可用数值；不补零，其他指标仍参与基准计算。</x:v>
      </x:c>
      <x:c r="N39" s="19" t="str">
        <x:v>2026-08-26</x:v>
      </x:c>
      <x:c r="O39" s="33" t="b">
        <x:v>0</x:v>
      </x:c>
      <x:c r="P39" s="19" t="str">
        <x:v>objective-four-20260826:enflame:R21:risk-score</x:v>
      </x:c>
      <x:c r="Q39" s="19" t="str">
        <x:v>不可评分</x:v>
      </x:c>
    </x:row>
    <x:row r="40" ht="15" hidden="0" customHeight="1">
      <x:c r="A40" s="19" t="str">
        <x:v>客观四企</x:v>
      </x:c>
      <x:c r="B40" s="19" t="str">
        <x:v>燧原科技</x:v>
      </x:c>
      <x:c r="C40" s="19" t="str">
        <x:v>R22</x:v>
      </x:c>
      <x:c r="D40" s="19" t="str">
        <x:v>objective_indicator_risk_score</x:v>
      </x:c>
      <x:c r="E40" s="19" t="str">
        <x:v>IRAWC-CRITIC-2026.08-v2</x:v>
      </x:c>
      <x:c r="F40" s="28"/>
      <x:c r="G40" s="28"/>
      <x:c r="H40" s="19" t="str">
        <x:v>risk-score-0-100</x:v>
      </x:c>
      <x:c r="I40" s="19" t="str">
        <x:v>missing</x:v>
      </x:c>
      <x:c r="J40" s="19" t="str">
        <x:v>missing</x:v>
      </x:c>
      <x:c r="K40" s="20"/>
      <x:c r="L40" s="19"/>
      <x:c r="M40" s="19" t="str">
        <x:v>当前企业缺少可用数值；不补零，其他指标仍参与基准计算。</x:v>
      </x:c>
      <x:c r="N40" s="19" t="str">
        <x:v>2026-08-26</x:v>
      </x:c>
      <x:c r="O40" s="33" t="b">
        <x:v>0</x:v>
      </x:c>
      <x:c r="P40" s="19" t="str">
        <x:v>objective-four-20260826:enflame:R22:risk-score</x:v>
      </x:c>
      <x:c r="Q40" s="19" t="str">
        <x:v>不可评分</x:v>
      </x:c>
    </x:row>
    <x:row r="41" ht="15" hidden="0" customHeight="1">
      <x:c r="A41" s="19" t="str">
        <x:v>客观四企</x:v>
      </x:c>
      <x:c r="B41" s="19" t="str">
        <x:v>华微电子</x:v>
      </x:c>
      <x:c r="C41" s="19" t="str">
        <x:v>R05</x:v>
      </x:c>
      <x:c r="D41" s="19" t="str">
        <x:v>objective_indicator_risk_score</x:v>
      </x:c>
      <x:c r="E41" s="19" t="str">
        <x:v>IRAWC-CRITIC-2026.08-v2</x:v>
      </x:c>
      <x:c r="F41" s="28" t="n">
        <x:v>58.93</x:v>
      </x:c>
      <x:c r="G41" s="28" t="n">
        <x:v>58.93</x:v>
      </x:c>
      <x:c r="H41" s="19" t="str">
        <x:v>risk-score-0-100</x:v>
      </x:c>
      <x:c r="I41" s="19" t="str">
        <x:v>scored</x:v>
      </x:c>
      <x:c r="J41" s="19" t="str">
        <x:v>validated-from-governed-dataset</x:v>
      </x:c>
      <x:c r="K41" s="20"/>
      <x:c r="L41" s="19"/>
      <x:c r="M41" s="19" t="str">
        <x:v>r_rel=0.6786；r=100×(0.5×0.5+0.5×0.6786)=58.93</x:v>
      </x:c>
      <x:c r="N41" s="19" t="str">
        <x:v>2026-08-26</x:v>
      </x:c>
      <x:c r="O41" s="33" t="b">
        <x:v>1</x:v>
      </x:c>
      <x:c r="P41" s="19" t="str">
        <x:v>objective-four-20260826:huami-electronics:R05:risk-score</x:v>
      </x:c>
      <x:c r="Q41" s="19" t="str">
        <x:v>已验证</x:v>
      </x:c>
    </x:row>
    <x:row r="42" ht="15" hidden="0" customHeight="1">
      <x:c r="A42" s="19" t="str">
        <x:v>客观四企</x:v>
      </x:c>
      <x:c r="B42" s="19" t="str">
        <x:v>华微电子</x:v>
      </x:c>
      <x:c r="C42" s="19" t="str">
        <x:v>R06</x:v>
      </x:c>
      <x:c r="D42" s="19" t="str">
        <x:v>objective_indicator_risk_score</x:v>
      </x:c>
      <x:c r="E42" s="19" t="str">
        <x:v>IRAWC-CRITIC-2026.08-v2</x:v>
      </x:c>
      <x:c r="F42" s="28" t="n">
        <x:v>73.46</x:v>
      </x:c>
      <x:c r="G42" s="28" t="n">
        <x:v>73.46</x:v>
      </x:c>
      <x:c r="H42" s="19" t="str">
        <x:v>risk-score-0-100</x:v>
      </x:c>
      <x:c r="I42" s="19" t="str">
        <x:v>scored</x:v>
      </x:c>
      <x:c r="J42" s="19" t="str">
        <x:v>validated-from-governed-dataset</x:v>
      </x:c>
      <x:c r="K42" s="20"/>
      <x:c r="L42" s="19"/>
      <x:c r="M42" s="19" t="str">
        <x:v>r_rel=0.9692；r=100×(0.5×0.5+0.5×0.9692)=73.46</x:v>
      </x:c>
      <x:c r="N42" s="19" t="str">
        <x:v>2026-08-26</x:v>
      </x:c>
      <x:c r="O42" s="33" t="b">
        <x:v>1</x:v>
      </x:c>
      <x:c r="P42" s="19" t="str">
        <x:v>objective-four-20260826:huami-electronics:R06:risk-score</x:v>
      </x:c>
      <x:c r="Q42" s="19" t="str">
        <x:v>已验证</x:v>
      </x:c>
    </x:row>
    <x:row r="43" ht="15" hidden="0" customHeight="1">
      <x:c r="A43" s="19" t="str">
        <x:v>客观四企</x:v>
      </x:c>
      <x:c r="B43" s="19" t="str">
        <x:v>华微电子</x:v>
      </x:c>
      <x:c r="C43" s="19" t="str">
        <x:v>R07</x:v>
      </x:c>
      <x:c r="D43" s="19" t="str">
        <x:v>objective_indicator_risk_score</x:v>
      </x:c>
      <x:c r="E43" s="19" t="str">
        <x:v>IRAWC-CRITIC-2026.08-v2</x:v>
      </x:c>
      <x:c r="F43" s="28" t="n">
        <x:v>74.23</x:v>
      </x:c>
      <x:c r="G43" s="28" t="n">
        <x:v>74.23</x:v>
      </x:c>
      <x:c r="H43" s="19" t="str">
        <x:v>risk-score-0-100</x:v>
      </x:c>
      <x:c r="I43" s="19" t="str">
        <x:v>scored</x:v>
      </x:c>
      <x:c r="J43" s="19" t="str">
        <x:v>validated-from-governed-dataset</x:v>
      </x:c>
      <x:c r="K43" s="20"/>
      <x:c r="L43" s="19"/>
      <x:c r="M43" s="19" t="str">
        <x:v>r_rel=0.9846；r=100×(0.5×0.5+0.5×0.9846)=74.23</x:v>
      </x:c>
      <x:c r="N43" s="19" t="str">
        <x:v>2026-08-26</x:v>
      </x:c>
      <x:c r="O43" s="33" t="b">
        <x:v>1</x:v>
      </x:c>
      <x:c r="P43" s="19" t="str">
        <x:v>objective-four-20260826:huami-electronics:R07:risk-score</x:v>
      </x:c>
      <x:c r="Q43" s="19" t="str">
        <x:v>已验证</x:v>
      </x:c>
    </x:row>
    <x:row r="44" ht="15" hidden="0" customHeight="1">
      <x:c r="A44" s="19" t="str">
        <x:v>客观四企</x:v>
      </x:c>
      <x:c r="B44" s="19" t="str">
        <x:v>华微电子</x:v>
      </x:c>
      <x:c r="C44" s="19" t="str">
        <x:v>R08</x:v>
      </x:c>
      <x:c r="D44" s="19" t="str">
        <x:v>objective_indicator_risk_score</x:v>
      </x:c>
      <x:c r="E44" s="19" t="str">
        <x:v>IRAWC-CRITIC-2026.08-v2</x:v>
      </x:c>
      <x:c r="F44" s="28"/>
      <x:c r="G44" s="28"/>
      <x:c r="H44" s="19" t="str">
        <x:v>risk-score-0-100</x:v>
      </x:c>
      <x:c r="I44" s="19" t="str">
        <x:v>missing</x:v>
      </x:c>
      <x:c r="J44" s="19" t="str">
        <x:v>missing</x:v>
      </x:c>
      <x:c r="K44" s="20"/>
      <x:c r="L44" s="19"/>
      <x:c r="M44" s="19" t="str">
        <x:v>当前企业缺少可用数值；不补零，其他指标仍参与基准计算。</x:v>
      </x:c>
      <x:c r="N44" s="19" t="str">
        <x:v>2026-08-26</x:v>
      </x:c>
      <x:c r="O44" s="33" t="b">
        <x:v>0</x:v>
      </x:c>
      <x:c r="P44" s="19" t="str">
        <x:v>objective-four-20260826:huami-electronics:R08:risk-score</x:v>
      </x:c>
      <x:c r="Q44" s="19" t="str">
        <x:v>不可评分</x:v>
      </x:c>
    </x:row>
    <x:row r="45" ht="15" hidden="0" customHeight="1">
      <x:c r="A45" s="19" t="str">
        <x:v>客观四企</x:v>
      </x:c>
      <x:c r="B45" s="19" t="str">
        <x:v>华微电子</x:v>
      </x:c>
      <x:c r="C45" s="19" t="str">
        <x:v>R09</x:v>
      </x:c>
      <x:c r="D45" s="19" t="str">
        <x:v>objective_indicator_risk_score</x:v>
      </x:c>
      <x:c r="E45" s="19" t="str">
        <x:v>IRAWC-CRITIC-2026.08-v2</x:v>
      </x:c>
      <x:c r="F45" s="28"/>
      <x:c r="G45" s="28"/>
      <x:c r="H45" s="19" t="str">
        <x:v>risk-score-0-100</x:v>
      </x:c>
      <x:c r="I45" s="19" t="str">
        <x:v>missing</x:v>
      </x:c>
      <x:c r="J45" s="19" t="str">
        <x:v>missing</x:v>
      </x:c>
      <x:c r="K45" s="20"/>
      <x:c r="L45" s="19"/>
      <x:c r="M45" s="19" t="str">
        <x:v>当前企业缺少可用数值；不补零，其他指标仍参与基准计算。</x:v>
      </x:c>
      <x:c r="N45" s="19" t="str">
        <x:v>2026-08-26</x:v>
      </x:c>
      <x:c r="O45" s="33" t="b">
        <x:v>0</x:v>
      </x:c>
      <x:c r="P45" s="19" t="str">
        <x:v>objective-four-20260826:huami-electronics:R09:risk-score</x:v>
      </x:c>
      <x:c r="Q45" s="19" t="str">
        <x:v>不可评分</x:v>
      </x:c>
    </x:row>
    <x:row r="46" ht="15" hidden="0" customHeight="1">
      <x:c r="A46" s="19" t="str">
        <x:v>客观四企</x:v>
      </x:c>
      <x:c r="B46" s="19" t="str">
        <x:v>华微电子</x:v>
      </x:c>
      <x:c r="C46" s="19" t="str">
        <x:v>R10</x:v>
      </x:c>
      <x:c r="D46" s="19" t="str">
        <x:v>objective_indicator_risk_score</x:v>
      </x:c>
      <x:c r="E46" s="19" t="str">
        <x:v>IRAWC-CRITIC-2026.08-v2</x:v>
      </x:c>
      <x:c r="F46" s="28" t="n">
        <x:v>75</x:v>
      </x:c>
      <x:c r="G46" s="28" t="n">
        <x:v>75</x:v>
      </x:c>
      <x:c r="H46" s="19" t="str">
        <x:v>risk-score-0-100</x:v>
      </x:c>
      <x:c r="I46" s="19" t="str">
        <x:v>scored</x:v>
      </x:c>
      <x:c r="J46" s="19" t="str">
        <x:v>validated-from-governed-dataset</x:v>
      </x:c>
      <x:c r="K46" s="20"/>
      <x:c r="L46" s="19"/>
      <x:c r="M46" s="19" t="str">
        <x:v>r_rel=1；r=100×(0.5×0.5+0.5×1)=75</x:v>
      </x:c>
      <x:c r="N46" s="19" t="str">
        <x:v>2026-08-26</x:v>
      </x:c>
      <x:c r="O46" s="33" t="b">
        <x:v>1</x:v>
      </x:c>
      <x:c r="P46" s="19" t="str">
        <x:v>objective-four-20260826:huami-electronics:R10:risk-score</x:v>
      </x:c>
      <x:c r="Q46" s="19" t="str">
        <x:v>已验证</x:v>
      </x:c>
    </x:row>
    <x:row r="47" ht="15" hidden="0" customHeight="1">
      <x:c r="A47" s="19" t="str">
        <x:v>客观四企</x:v>
      </x:c>
      <x:c r="B47" s="19" t="str">
        <x:v>华微电子</x:v>
      </x:c>
      <x:c r="C47" s="19" t="str">
        <x:v>R11</x:v>
      </x:c>
      <x:c r="D47" s="19" t="str">
        <x:v>objective_indicator_risk_score</x:v>
      </x:c>
      <x:c r="E47" s="19" t="str">
        <x:v>IRAWC-CRITIC-2026.08-v2</x:v>
      </x:c>
      <x:c r="F47" s="28"/>
      <x:c r="G47" s="28"/>
      <x:c r="H47" s="19" t="str">
        <x:v>risk-score-0-100</x:v>
      </x:c>
      <x:c r="I47" s="19" t="str">
        <x:v>missing</x:v>
      </x:c>
      <x:c r="J47" s="19" t="str">
        <x:v>missing</x:v>
      </x:c>
      <x:c r="K47" s="20"/>
      <x:c r="L47" s="19"/>
      <x:c r="M47" s="19" t="str">
        <x:v>当前企业缺少可用数值；不补零，其他指标仍参与基准计算。</x:v>
      </x:c>
      <x:c r="N47" s="19" t="str">
        <x:v>2026-08-26</x:v>
      </x:c>
      <x:c r="O47" s="33" t="b">
        <x:v>0</x:v>
      </x:c>
      <x:c r="P47" s="19" t="str">
        <x:v>objective-four-20260826:huami-electronics:R11:risk-score</x:v>
      </x:c>
      <x:c r="Q47" s="19" t="str">
        <x:v>不可评分</x:v>
      </x:c>
    </x:row>
    <x:row r="48" ht="15" hidden="0" customHeight="1">
      <x:c r="A48" s="19" t="str">
        <x:v>客观四企</x:v>
      </x:c>
      <x:c r="B48" s="19" t="str">
        <x:v>华微电子</x:v>
      </x:c>
      <x:c r="C48" s="19" t="str">
        <x:v>R12</x:v>
      </x:c>
      <x:c r="D48" s="19" t="str">
        <x:v>objective_indicator_risk_score</x:v>
      </x:c>
      <x:c r="E48" s="19" t="str">
        <x:v>IRAWC-CRITIC-2026.08-v2</x:v>
      </x:c>
      <x:c r="F48" s="28" t="n">
        <x:v>50</x:v>
      </x:c>
      <x:c r="G48" s="28" t="n">
        <x:v>50</x:v>
      </x:c>
      <x:c r="H48" s="19" t="str">
        <x:v>risk-score-0-100</x:v>
      </x:c>
      <x:c r="I48" s="19" t="str">
        <x:v>scored</x:v>
      </x:c>
      <x:c r="J48" s="19" t="str">
        <x:v>validated-from-governed-dataset</x:v>
      </x:c>
      <x:c r="K48" s="20"/>
      <x:c r="L48" s="19"/>
      <x:c r="M48" s="19" t="str">
        <x:v>r_rel=0.5；r=100×(0.5×0.5+0.5×0.5)=50</x:v>
      </x:c>
      <x:c r="N48" s="19" t="str">
        <x:v>2026-08-26</x:v>
      </x:c>
      <x:c r="O48" s="33" t="b">
        <x:v>1</x:v>
      </x:c>
      <x:c r="P48" s="19" t="str">
        <x:v>objective-four-20260826:huami-electronics:R12:risk-score</x:v>
      </x:c>
      <x:c r="Q48" s="19" t="str">
        <x:v>已验证</x:v>
      </x:c>
    </x:row>
    <x:row r="49" ht="15" hidden="0" customHeight="1">
      <x:c r="A49" s="19" t="str">
        <x:v>客观四企</x:v>
      </x:c>
      <x:c r="B49" s="19" t="str">
        <x:v>华微电子</x:v>
      </x:c>
      <x:c r="C49" s="19" t="str">
        <x:v>R13</x:v>
      </x:c>
      <x:c r="D49" s="19" t="str">
        <x:v>objective_indicator_risk_score</x:v>
      </x:c>
      <x:c r="E49" s="19" t="str">
        <x:v>IRAWC-CRITIC-2026.08-v2</x:v>
      </x:c>
      <x:c r="F49" s="28" t="n">
        <x:v>69.62</x:v>
      </x:c>
      <x:c r="G49" s="28" t="n">
        <x:v>69.62</x:v>
      </x:c>
      <x:c r="H49" s="19" t="str">
        <x:v>risk-score-0-100</x:v>
      </x:c>
      <x:c r="I49" s="19" t="str">
        <x:v>scored</x:v>
      </x:c>
      <x:c r="J49" s="19" t="str">
        <x:v>validated-from-governed-dataset</x:v>
      </x:c>
      <x:c r="K49" s="20"/>
      <x:c r="L49" s="19"/>
      <x:c r="M49" s="19" t="str">
        <x:v>r_rel=0.8923；r=100×(0.5×0.5+0.5×0.8923)=69.62</x:v>
      </x:c>
      <x:c r="N49" s="19" t="str">
        <x:v>2026-08-26</x:v>
      </x:c>
      <x:c r="O49" s="33" t="b">
        <x:v>1</x:v>
      </x:c>
      <x:c r="P49" s="19" t="str">
        <x:v>objective-four-20260826:huami-electronics:R13:risk-score</x:v>
      </x:c>
      <x:c r="Q49" s="19" t="str">
        <x:v>已验证</x:v>
      </x:c>
    </x:row>
    <x:row r="50" ht="15" hidden="0" customHeight="1">
      <x:c r="A50" s="19" t="str">
        <x:v>客观四企</x:v>
      </x:c>
      <x:c r="B50" s="19" t="str">
        <x:v>华微电子</x:v>
      </x:c>
      <x:c r="C50" s="19" t="str">
        <x:v>R14</x:v>
      </x:c>
      <x:c r="D50" s="19" t="str">
        <x:v>objective_indicator_risk_score</x:v>
      </x:c>
      <x:c r="E50" s="19" t="str">
        <x:v>IRAWC-CRITIC-2026.08-v2</x:v>
      </x:c>
      <x:c r="F50" s="28" t="n">
        <x:v>55.77</x:v>
      </x:c>
      <x:c r="G50" s="28" t="n">
        <x:v>55.77</x:v>
      </x:c>
      <x:c r="H50" s="19" t="str">
        <x:v>risk-score-0-100</x:v>
      </x:c>
      <x:c r="I50" s="19" t="str">
        <x:v>scored</x:v>
      </x:c>
      <x:c r="J50" s="19" t="str">
        <x:v>validated-from-governed-dataset</x:v>
      </x:c>
      <x:c r="K50" s="20"/>
      <x:c r="L50" s="19"/>
      <x:c r="M50" s="19" t="str">
        <x:v>r_rel=0.6154；r=100×(0.5×0.5+0.5×0.6154)=55.77</x:v>
      </x:c>
      <x:c r="N50" s="19" t="str">
        <x:v>2026-08-26</x:v>
      </x:c>
      <x:c r="O50" s="33" t="b">
        <x:v>1</x:v>
      </x:c>
      <x:c r="P50" s="19" t="str">
        <x:v>objective-four-20260826:huami-electronics:R14:risk-score</x:v>
      </x:c>
      <x:c r="Q50" s="19" t="str">
        <x:v>已验证</x:v>
      </x:c>
    </x:row>
    <x:row r="51" ht="15" hidden="0" customHeight="1">
      <x:c r="A51" s="19" t="str">
        <x:v>客观四企</x:v>
      </x:c>
      <x:c r="B51" s="19" t="str">
        <x:v>华微电子</x:v>
      </x:c>
      <x:c r="C51" s="19" t="str">
        <x:v>R15</x:v>
      </x:c>
      <x:c r="D51" s="19" t="str">
        <x:v>objective_indicator_risk_score</x:v>
      </x:c>
      <x:c r="E51" s="19" t="str">
        <x:v>IRAWC-CRITIC-2026.08-v2</x:v>
      </x:c>
      <x:c r="F51" s="28"/>
      <x:c r="G51" s="28"/>
      <x:c r="H51" s="19" t="str">
        <x:v>risk-score-0-100</x:v>
      </x:c>
      <x:c r="I51" s="19" t="str">
        <x:v>missing</x:v>
      </x:c>
      <x:c r="J51" s="19" t="str">
        <x:v>missing</x:v>
      </x:c>
      <x:c r="K51" s="20"/>
      <x:c r="L51" s="19"/>
      <x:c r="M51" s="19" t="str">
        <x:v>当前企业缺少可用数值；不补零，其他指标仍参与基准计算。</x:v>
      </x:c>
      <x:c r="N51" s="19" t="str">
        <x:v>2026-08-26</x:v>
      </x:c>
      <x:c r="O51" s="33" t="b">
        <x:v>0</x:v>
      </x:c>
      <x:c r="P51" s="19" t="str">
        <x:v>objective-four-20260826:huami-electronics:R15:risk-score</x:v>
      </x:c>
      <x:c r="Q51" s="19" t="str">
        <x:v>不可评分</x:v>
      </x:c>
    </x:row>
    <x:row r="52" ht="15" hidden="0" customHeight="1">
      <x:c r="A52" s="19" t="str">
        <x:v>客观四企</x:v>
      </x:c>
      <x:c r="B52" s="19" t="str">
        <x:v>华微电子</x:v>
      </x:c>
      <x:c r="C52" s="19" t="str">
        <x:v>R16</x:v>
      </x:c>
      <x:c r="D52" s="19" t="str">
        <x:v>objective_indicator_risk_score</x:v>
      </x:c>
      <x:c r="E52" s="19" t="str">
        <x:v>IRAWC-CRITIC-2026.08-v2</x:v>
      </x:c>
      <x:c r="F52" s="28" t="n">
        <x:v>38.33</x:v>
      </x:c>
      <x:c r="G52" s="28" t="n">
        <x:v>38.33</x:v>
      </x:c>
      <x:c r="H52" s="19" t="str">
        <x:v>risk-score-0-100</x:v>
      </x:c>
      <x:c r="I52" s="19" t="str">
        <x:v>scored</x:v>
      </x:c>
      <x:c r="J52" s="19" t="str">
        <x:v>validated-from-governed-dataset</x:v>
      </x:c>
      <x:c r="K52" s="20"/>
      <x:c r="L52" s="19"/>
      <x:c r="M52" s="19" t="str">
        <x:v>r_rel=0.2667；r=100×(0.5×0.5+0.5×0.2667)=38.33</x:v>
      </x:c>
      <x:c r="N52" s="19" t="str">
        <x:v>2026-08-26</x:v>
      </x:c>
      <x:c r="O52" s="33" t="b">
        <x:v>1</x:v>
      </x:c>
      <x:c r="P52" s="19" t="str">
        <x:v>objective-four-20260826:huami-electronics:R16:risk-score</x:v>
      </x:c>
      <x:c r="Q52" s="19" t="str">
        <x:v>已验证</x:v>
      </x:c>
    </x:row>
    <x:row r="53" ht="15" hidden="0" customHeight="1">
      <x:c r="A53" s="19" t="str">
        <x:v>客观四企</x:v>
      </x:c>
      <x:c r="B53" s="19" t="str">
        <x:v>华微电子</x:v>
      </x:c>
      <x:c r="C53" s="19" t="str">
        <x:v>R17</x:v>
      </x:c>
      <x:c r="D53" s="19" t="str">
        <x:v>objective_indicator_risk_score</x:v>
      </x:c>
      <x:c r="E53" s="19" t="str">
        <x:v>IRAWC-CRITIC-2026.08-v2</x:v>
      </x:c>
      <x:c r="F53" s="28"/>
      <x:c r="G53" s="28"/>
      <x:c r="H53" s="19" t="str">
        <x:v>risk-score-0-100</x:v>
      </x:c>
      <x:c r="I53" s="19" t="str">
        <x:v>missing</x:v>
      </x:c>
      <x:c r="J53" s="19" t="str">
        <x:v>missing</x:v>
      </x:c>
      <x:c r="K53" s="20"/>
      <x:c r="L53" s="19"/>
      <x:c r="M53" s="19" t="str">
        <x:v>当前企业缺少可用数值；不补零，其他指标仍参与基准计算。</x:v>
      </x:c>
      <x:c r="N53" s="19" t="str">
        <x:v>2026-08-26</x:v>
      </x:c>
      <x:c r="O53" s="33" t="b">
        <x:v>0</x:v>
      </x:c>
      <x:c r="P53" s="19" t="str">
        <x:v>objective-four-20260826:huami-electronics:R17:risk-score</x:v>
      </x:c>
      <x:c r="Q53" s="19" t="str">
        <x:v>不可评分</x:v>
      </x:c>
    </x:row>
    <x:row r="54" ht="15" hidden="0" customHeight="1">
      <x:c r="A54" s="19" t="str">
        <x:v>客观四企</x:v>
      </x:c>
      <x:c r="B54" s="19" t="str">
        <x:v>华微电子</x:v>
      </x:c>
      <x:c r="C54" s="19" t="str">
        <x:v>R18</x:v>
      </x:c>
      <x:c r="D54" s="19" t="str">
        <x:v>objective_indicator_risk_score</x:v>
      </x:c>
      <x:c r="E54" s="19" t="str">
        <x:v>IRAWC-CRITIC-2026.08-v2</x:v>
      </x:c>
      <x:c r="F54" s="28"/>
      <x:c r="G54" s="28"/>
      <x:c r="H54" s="19" t="str">
        <x:v>risk-score-0-100</x:v>
      </x:c>
      <x:c r="I54" s="19" t="str">
        <x:v>missing</x:v>
      </x:c>
      <x:c r="J54" s="19" t="str">
        <x:v>missing</x:v>
      </x:c>
      <x:c r="K54" s="20"/>
      <x:c r="L54" s="19"/>
      <x:c r="M54" s="19" t="str">
        <x:v>当前企业缺少可用数值；不补零，其他指标仍参与基准计算。</x:v>
      </x:c>
      <x:c r="N54" s="19" t="str">
        <x:v>2026-08-26</x:v>
      </x:c>
      <x:c r="O54" s="33" t="b">
        <x:v>0</x:v>
      </x:c>
      <x:c r="P54" s="19" t="str">
        <x:v>objective-four-20260826:huami-electronics:R18:risk-score</x:v>
      </x:c>
      <x:c r="Q54" s="19" t="str">
        <x:v>不可评分</x:v>
      </x:c>
    </x:row>
    <x:row r="55" ht="15" hidden="0" customHeight="1">
      <x:c r="A55" s="19" t="str">
        <x:v>客观四企</x:v>
      </x:c>
      <x:c r="B55" s="19" t="str">
        <x:v>华微电子</x:v>
      </x:c>
      <x:c r="C55" s="19" t="str">
        <x:v>R19</x:v>
      </x:c>
      <x:c r="D55" s="19" t="str">
        <x:v>objective_indicator_risk_score</x:v>
      </x:c>
      <x:c r="E55" s="19" t="str">
        <x:v>IRAWC-CRITIC-2026.08-v2</x:v>
      </x:c>
      <x:c r="F55" s="28"/>
      <x:c r="G55" s="28"/>
      <x:c r="H55" s="19" t="str">
        <x:v>risk-score-0-100</x:v>
      </x:c>
      <x:c r="I55" s="19" t="str">
        <x:v>missing</x:v>
      </x:c>
      <x:c r="J55" s="19" t="str">
        <x:v>missing</x:v>
      </x:c>
      <x:c r="K55" s="20"/>
      <x:c r="L55" s="19"/>
      <x:c r="M55" s="19" t="str">
        <x:v>当前企业缺少可用数值；不补零，其他指标仍参与基准计算。</x:v>
      </x:c>
      <x:c r="N55" s="19" t="str">
        <x:v>2026-08-26</x:v>
      </x:c>
      <x:c r="O55" s="33" t="b">
        <x:v>0</x:v>
      </x:c>
      <x:c r="P55" s="19" t="str">
        <x:v>objective-four-20260826:huami-electronics:R19:risk-score</x:v>
      </x:c>
      <x:c r="Q55" s="19" t="str">
        <x:v>不可评分</x:v>
      </x:c>
    </x:row>
    <x:row r="56" ht="15" hidden="0" customHeight="1">
      <x:c r="A56" s="19" t="str">
        <x:v>客观四企</x:v>
      </x:c>
      <x:c r="B56" s="19" t="str">
        <x:v>华微电子</x:v>
      </x:c>
      <x:c r="C56" s="19" t="str">
        <x:v>R20</x:v>
      </x:c>
      <x:c r="D56" s="19" t="str">
        <x:v>objective_indicator_risk_score</x:v>
      </x:c>
      <x:c r="E56" s="19" t="str">
        <x:v>IRAWC-CRITIC-2026.08-v2</x:v>
      </x:c>
      <x:c r="F56" s="28"/>
      <x:c r="G56" s="28"/>
      <x:c r="H56" s="19" t="str">
        <x:v>risk-score-0-100</x:v>
      </x:c>
      <x:c r="I56" s="19" t="str">
        <x:v>missing</x:v>
      </x:c>
      <x:c r="J56" s="19" t="str">
        <x:v>missing</x:v>
      </x:c>
      <x:c r="K56" s="20"/>
      <x:c r="L56" s="19"/>
      <x:c r="M56" s="19" t="str">
        <x:v>当前企业缺少可用数值；不补零，其他指标仍参与基准计算。</x:v>
      </x:c>
      <x:c r="N56" s="19" t="str">
        <x:v>2026-08-26</x:v>
      </x:c>
      <x:c r="O56" s="33" t="b">
        <x:v>0</x:v>
      </x:c>
      <x:c r="P56" s="19" t="str">
        <x:v>objective-four-20260826:huami-electronics:R20:risk-score</x:v>
      </x:c>
      <x:c r="Q56" s="19" t="str">
        <x:v>不可评分</x:v>
      </x:c>
    </x:row>
    <x:row r="57" ht="15" hidden="0" customHeight="1">
      <x:c r="A57" s="19" t="str">
        <x:v>客观四企</x:v>
      </x:c>
      <x:c r="B57" s="19" t="str">
        <x:v>华微电子</x:v>
      </x:c>
      <x:c r="C57" s="19" t="str">
        <x:v>R21</x:v>
      </x:c>
      <x:c r="D57" s="19" t="str">
        <x:v>objective_indicator_risk_score</x:v>
      </x:c>
      <x:c r="E57" s="19" t="str">
        <x:v>IRAWC-CRITIC-2026.08-v2</x:v>
      </x:c>
      <x:c r="F57" s="28"/>
      <x:c r="G57" s="28"/>
      <x:c r="H57" s="19" t="str">
        <x:v>risk-score-0-100</x:v>
      </x:c>
      <x:c r="I57" s="19" t="str">
        <x:v>missing</x:v>
      </x:c>
      <x:c r="J57" s="19" t="str">
        <x:v>missing</x:v>
      </x:c>
      <x:c r="K57" s="20"/>
      <x:c r="L57" s="19"/>
      <x:c r="M57" s="19" t="str">
        <x:v>当前企业缺少可用数值；不补零，其他指标仍参与基准计算。</x:v>
      </x:c>
      <x:c r="N57" s="19" t="str">
        <x:v>2026-08-26</x:v>
      </x:c>
      <x:c r="O57" s="33" t="b">
        <x:v>0</x:v>
      </x:c>
      <x:c r="P57" s="19" t="str">
        <x:v>objective-four-20260826:huami-electronics:R21:risk-score</x:v>
      </x:c>
      <x:c r="Q57" s="19" t="str">
        <x:v>不可评分</x:v>
      </x:c>
    </x:row>
    <x:row r="58" ht="15" hidden="0" customHeight="1">
      <x:c r="A58" s="19" t="str">
        <x:v>客观四企</x:v>
      </x:c>
      <x:c r="B58" s="19" t="str">
        <x:v>华微电子</x:v>
      </x:c>
      <x:c r="C58" s="19" t="str">
        <x:v>R22</x:v>
      </x:c>
      <x:c r="D58" s="19" t="str">
        <x:v>objective_indicator_risk_score</x:v>
      </x:c>
      <x:c r="E58" s="19" t="str">
        <x:v>IRAWC-CRITIC-2026.08-v2</x:v>
      </x:c>
      <x:c r="F58" s="28"/>
      <x:c r="G58" s="28"/>
      <x:c r="H58" s="19" t="str">
        <x:v>risk-score-0-100</x:v>
      </x:c>
      <x:c r="I58" s="19" t="str">
        <x:v>missing</x:v>
      </x:c>
      <x:c r="J58" s="19" t="str">
        <x:v>missing</x:v>
      </x:c>
      <x:c r="K58" s="20"/>
      <x:c r="L58" s="19"/>
      <x:c r="M58" s="19" t="str">
        <x:v>当前企业缺少可用数值；不补零，其他指标仍参与基准计算。</x:v>
      </x:c>
      <x:c r="N58" s="19" t="str">
        <x:v>2026-08-26</x:v>
      </x:c>
      <x:c r="O58" s="33" t="b">
        <x:v>0</x:v>
      </x:c>
      <x:c r="P58" s="19" t="str">
        <x:v>objective-four-20260826:huami-electronics:R22:risk-score</x:v>
      </x:c>
      <x:c r="Q58" s="19" t="str">
        <x:v>不可评分</x:v>
      </x:c>
    </x:row>
    <x:row r="59" ht="15" hidden="0" customHeight="1">
      <x:c r="A59" s="19" t="str">
        <x:v>客观四企</x:v>
      </x:c>
      <x:c r="B59" s="19" t="str">
        <x:v>恒瑞医药</x:v>
      </x:c>
      <x:c r="C59" s="19" t="str">
        <x:v>R05</x:v>
      </x:c>
      <x:c r="D59" s="19" t="str">
        <x:v>objective_indicator_risk_score</x:v>
      </x:c>
      <x:c r="E59" s="19" t="str">
        <x:v>IRAWC-CRITIC-2026.08-v2</x:v>
      </x:c>
      <x:c r="F59" s="28" t="n">
        <x:v>25</x:v>
      </x:c>
      <x:c r="G59" s="28" t="n">
        <x:v>25</x:v>
      </x:c>
      <x:c r="H59" s="19" t="str">
        <x:v>risk-score-0-100</x:v>
      </x:c>
      <x:c r="I59" s="19" t="str">
        <x:v>scored</x:v>
      </x:c>
      <x:c r="J59" s="19" t="str">
        <x:v>validated-from-governed-dataset</x:v>
      </x:c>
      <x:c r="K59" s="20"/>
      <x:c r="L59" s="19"/>
      <x:c r="M59" s="19" t="str">
        <x:v>r_rel=0；r=100×(0.5×0.5+0.5×0)=25</x:v>
      </x:c>
      <x:c r="N59" s="19" t="str">
        <x:v>2026-08-26</x:v>
      </x:c>
      <x:c r="O59" s="33" t="b">
        <x:v>1</x:v>
      </x:c>
      <x:c r="P59" s="19" t="str">
        <x:v>objective-four-20260826:hengrui-pharma:R05:risk-score</x:v>
      </x:c>
      <x:c r="Q59" s="19" t="str">
        <x:v>已验证</x:v>
      </x:c>
    </x:row>
    <x:row r="60" ht="15" hidden="0" customHeight="1">
      <x:c r="A60" s="19" t="str">
        <x:v>客观四企</x:v>
      </x:c>
      <x:c r="B60" s="19" t="str">
        <x:v>恒瑞医药</x:v>
      </x:c>
      <x:c r="C60" s="19" t="str">
        <x:v>R06</x:v>
      </x:c>
      <x:c r="D60" s="19" t="str">
        <x:v>objective_indicator_risk_score</x:v>
      </x:c>
      <x:c r="E60" s="19" t="str">
        <x:v>IRAWC-CRITIC-2026.08-v2</x:v>
      </x:c>
      <x:c r="F60" s="28" t="n">
        <x:v>55</x:v>
      </x:c>
      <x:c r="G60" s="28" t="n">
        <x:v>55</x:v>
      </x:c>
      <x:c r="H60" s="19" t="str">
        <x:v>risk-score-0-100</x:v>
      </x:c>
      <x:c r="I60" s="19" t="str">
        <x:v>scored</x:v>
      </x:c>
      <x:c r="J60" s="19" t="str">
        <x:v>validated-from-governed-dataset</x:v>
      </x:c>
      <x:c r="K60" s="20"/>
      <x:c r="L60" s="19"/>
      <x:c r="M60" s="19" t="str">
        <x:v>r_rel=0.6；r=100×(0.5×0.5+0.5×0.6)=55</x:v>
      </x:c>
      <x:c r="N60" s="19" t="str">
        <x:v>2026-08-26</x:v>
      </x:c>
      <x:c r="O60" s="33" t="b">
        <x:v>1</x:v>
      </x:c>
      <x:c r="P60" s="19" t="str">
        <x:v>objective-four-20260826:hengrui-pharma:R06:risk-score</x:v>
      </x:c>
      <x:c r="Q60" s="19" t="str">
        <x:v>已验证</x:v>
      </x:c>
    </x:row>
    <x:row r="61" ht="15" hidden="0" customHeight="1">
      <x:c r="A61" s="19" t="str">
        <x:v>客观四企</x:v>
      </x:c>
      <x:c r="B61" s="19" t="str">
        <x:v>恒瑞医药</x:v>
      </x:c>
      <x:c r="C61" s="19" t="str">
        <x:v>R07</x:v>
      </x:c>
      <x:c r="D61" s="19" t="str">
        <x:v>objective_indicator_risk_score</x:v>
      </x:c>
      <x:c r="E61" s="19" t="str">
        <x:v>IRAWC-CRITIC-2026.08-v2</x:v>
      </x:c>
      <x:c r="F61" s="28" t="n">
        <x:v>25</x:v>
      </x:c>
      <x:c r="G61" s="28" t="n">
        <x:v>25</x:v>
      </x:c>
      <x:c r="H61" s="19" t="str">
        <x:v>risk-score-0-100</x:v>
      </x:c>
      <x:c r="I61" s="19" t="str">
        <x:v>scored</x:v>
      </x:c>
      <x:c r="J61" s="19" t="str">
        <x:v>validated-from-governed-dataset</x:v>
      </x:c>
      <x:c r="K61" s="20"/>
      <x:c r="L61" s="19"/>
      <x:c r="M61" s="19" t="str">
        <x:v>r_rel=0；r=100×(0.5×0.5+0.5×0)=25</x:v>
      </x:c>
      <x:c r="N61" s="19" t="str">
        <x:v>2026-08-26</x:v>
      </x:c>
      <x:c r="O61" s="33" t="b">
        <x:v>1</x:v>
      </x:c>
      <x:c r="P61" s="19" t="str">
        <x:v>objective-four-20260826:hengrui-pharma:R07:risk-score</x:v>
      </x:c>
      <x:c r="Q61" s="19" t="str">
        <x:v>已验证</x:v>
      </x:c>
    </x:row>
    <x:row r="62" ht="15" hidden="0" customHeight="1">
      <x:c r="A62" s="19" t="str">
        <x:v>客观四企</x:v>
      </x:c>
      <x:c r="B62" s="19" t="str">
        <x:v>恒瑞医药</x:v>
      </x:c>
      <x:c r="C62" s="19" t="str">
        <x:v>R08</x:v>
      </x:c>
      <x:c r="D62" s="19" t="str">
        <x:v>objective_indicator_risk_score</x:v>
      </x:c>
      <x:c r="E62" s="19" t="str">
        <x:v>IRAWC-CRITIC-2026.08-v2</x:v>
      </x:c>
      <x:c r="F62" s="28"/>
      <x:c r="G62" s="28"/>
      <x:c r="H62" s="19" t="str">
        <x:v>risk-score-0-100</x:v>
      </x:c>
      <x:c r="I62" s="19" t="str">
        <x:v>missing</x:v>
      </x:c>
      <x:c r="J62" s="19" t="str">
        <x:v>missing</x:v>
      </x:c>
      <x:c r="K62" s="20"/>
      <x:c r="L62" s="19"/>
      <x:c r="M62" s="19" t="str">
        <x:v>当前企业缺少可用数值；不补零，其他指标仍参与基准计算。</x:v>
      </x:c>
      <x:c r="N62" s="19" t="str">
        <x:v>2026-08-26</x:v>
      </x:c>
      <x:c r="O62" s="33" t="b">
        <x:v>0</x:v>
      </x:c>
      <x:c r="P62" s="19" t="str">
        <x:v>objective-four-20260826:hengrui-pharma:R08:risk-score</x:v>
      </x:c>
      <x:c r="Q62" s="19" t="str">
        <x:v>不可评分</x:v>
      </x:c>
    </x:row>
    <x:row r="63" ht="15" hidden="0" customHeight="1">
      <x:c r="A63" s="19" t="str">
        <x:v>客观四企</x:v>
      </x:c>
      <x:c r="B63" s="19" t="str">
        <x:v>恒瑞医药</x:v>
      </x:c>
      <x:c r="C63" s="19" t="str">
        <x:v>R09</x:v>
      </x:c>
      <x:c r="D63" s="19" t="str">
        <x:v>objective_indicator_risk_score</x:v>
      </x:c>
      <x:c r="E63" s="19" t="str">
        <x:v>IRAWC-CRITIC-2026.08-v2</x:v>
      </x:c>
      <x:c r="F63" s="28"/>
      <x:c r="G63" s="28"/>
      <x:c r="H63" s="19" t="str">
        <x:v>risk-score-0-100</x:v>
      </x:c>
      <x:c r="I63" s="19" t="str">
        <x:v>missing</x:v>
      </x:c>
      <x:c r="J63" s="19" t="str">
        <x:v>missing</x:v>
      </x:c>
      <x:c r="K63" s="20"/>
      <x:c r="L63" s="19"/>
      <x:c r="M63" s="19" t="str">
        <x:v>当前企业缺少可用数值；不补零，其他指标仍参与基准计算。</x:v>
      </x:c>
      <x:c r="N63" s="19" t="str">
        <x:v>2026-08-26</x:v>
      </x:c>
      <x:c r="O63" s="33" t="b">
        <x:v>0</x:v>
      </x:c>
      <x:c r="P63" s="19" t="str">
        <x:v>objective-four-20260826:hengrui-pharma:R09:risk-score</x:v>
      </x:c>
      <x:c r="Q63" s="19" t="str">
        <x:v>不可评分</x:v>
      </x:c>
    </x:row>
    <x:row r="64" ht="15" hidden="0" customHeight="1">
      <x:c r="A64" s="19" t="str">
        <x:v>客观四企</x:v>
      </x:c>
      <x:c r="B64" s="19" t="str">
        <x:v>恒瑞医药</x:v>
      </x:c>
      <x:c r="C64" s="19" t="str">
        <x:v>R10</x:v>
      </x:c>
      <x:c r="D64" s="19" t="str">
        <x:v>objective_indicator_risk_score</x:v>
      </x:c>
      <x:c r="E64" s="19" t="str">
        <x:v>IRAWC-CRITIC-2026.08-v2</x:v>
      </x:c>
      <x:c r="F64" s="28"/>
      <x:c r="G64" s="28"/>
      <x:c r="H64" s="19" t="str">
        <x:v>risk-score-0-100</x:v>
      </x:c>
      <x:c r="I64" s="19" t="str">
        <x:v>missing</x:v>
      </x:c>
      <x:c r="J64" s="19" t="str">
        <x:v>missing</x:v>
      </x:c>
      <x:c r="K64" s="20"/>
      <x:c r="L64" s="19"/>
      <x:c r="M64" s="19" t="str">
        <x:v>已取得原值，但同口径同业样本仅 1 家，无法形成风险分位。</x:v>
      </x:c>
      <x:c r="N64" s="19" t="str">
        <x:v>2026-08-26</x:v>
      </x:c>
      <x:c r="O64" s="33" t="b">
        <x:v>0</x:v>
      </x:c>
      <x:c r="P64" s="19" t="str">
        <x:v>objective-four-20260826:hengrui-pharma:R10:risk-score</x:v>
      </x:c>
      <x:c r="Q64" s="19" t="str">
        <x:v>不可评分</x:v>
      </x:c>
    </x:row>
    <x:row r="65" ht="15" hidden="0" customHeight="1">
      <x:c r="A65" s="19" t="str">
        <x:v>客观四企</x:v>
      </x:c>
      <x:c r="B65" s="19" t="str">
        <x:v>恒瑞医药</x:v>
      </x:c>
      <x:c r="C65" s="19" t="str">
        <x:v>R11</x:v>
      </x:c>
      <x:c r="D65" s="19" t="str">
        <x:v>objective_indicator_risk_score</x:v>
      </x:c>
      <x:c r="E65" s="19" t="str">
        <x:v>IRAWC-CRITIC-2026.08-v2</x:v>
      </x:c>
      <x:c r="F65" s="28"/>
      <x:c r="G65" s="28"/>
      <x:c r="H65" s="19" t="str">
        <x:v>risk-score-0-100</x:v>
      </x:c>
      <x:c r="I65" s="19" t="str">
        <x:v>missing</x:v>
      </x:c>
      <x:c r="J65" s="19" t="str">
        <x:v>missing</x:v>
      </x:c>
      <x:c r="K65" s="20"/>
      <x:c r="L65" s="19"/>
      <x:c r="M65" s="19" t="str">
        <x:v>当前企业缺少可用数值；不补零，其他指标仍参与基准计算。</x:v>
      </x:c>
      <x:c r="N65" s="19" t="str">
        <x:v>2026-08-26</x:v>
      </x:c>
      <x:c r="O65" s="33" t="b">
        <x:v>0</x:v>
      </x:c>
      <x:c r="P65" s="19" t="str">
        <x:v>objective-four-20260826:hengrui-pharma:R11:risk-score</x:v>
      </x:c>
      <x:c r="Q65" s="19" t="str">
        <x:v>不可评分</x:v>
      </x:c>
    </x:row>
    <x:row r="66" ht="15" hidden="0" customHeight="1">
      <x:c r="A66" s="19" t="str">
        <x:v>客观四企</x:v>
      </x:c>
      <x:c r="B66" s="19" t="str">
        <x:v>恒瑞医药</x:v>
      </x:c>
      <x:c r="C66" s="19" t="str">
        <x:v>R12</x:v>
      </x:c>
      <x:c r="D66" s="19" t="str">
        <x:v>objective_indicator_risk_score</x:v>
      </x:c>
      <x:c r="E66" s="19" t="str">
        <x:v>IRAWC-CRITIC-2026.08-v2</x:v>
      </x:c>
      <x:c r="F66" s="28"/>
      <x:c r="G66" s="28"/>
      <x:c r="H66" s="19" t="str">
        <x:v>risk-score-0-100</x:v>
      </x:c>
      <x:c r="I66" s="19" t="str">
        <x:v>missing</x:v>
      </x:c>
      <x:c r="J66" s="19" t="str">
        <x:v>missing</x:v>
      </x:c>
      <x:c r="K66" s="20"/>
      <x:c r="L66" s="19"/>
      <x:c r="M66" s="19" t="str">
        <x:v>已取得原值，但同口径同业样本仅 1 家，无法形成风险分位。</x:v>
      </x:c>
      <x:c r="N66" s="19" t="str">
        <x:v>2026-08-26</x:v>
      </x:c>
      <x:c r="O66" s="33" t="b">
        <x:v>0</x:v>
      </x:c>
      <x:c r="P66" s="19" t="str">
        <x:v>objective-four-20260826:hengrui-pharma:R12:risk-score</x:v>
      </x:c>
      <x:c r="Q66" s="19" t="str">
        <x:v>不可评分</x:v>
      </x:c>
    </x:row>
    <x:row r="67" ht="15" hidden="0" customHeight="1">
      <x:c r="A67" s="19" t="str">
        <x:v>客观四企</x:v>
      </x:c>
      <x:c r="B67" s="19" t="str">
        <x:v>恒瑞医药</x:v>
      </x:c>
      <x:c r="C67" s="19" t="str">
        <x:v>R13</x:v>
      </x:c>
      <x:c r="D67" s="19" t="str">
        <x:v>objective_indicator_risk_score</x:v>
      </x:c>
      <x:c r="E67" s="19" t="str">
        <x:v>IRAWC-CRITIC-2026.08-v2</x:v>
      </x:c>
      <x:c r="F67" s="28" t="n">
        <x:v>27.08</x:v>
      </x:c>
      <x:c r="G67" s="28" t="n">
        <x:v>27.08</x:v>
      </x:c>
      <x:c r="H67" s="19" t="str">
        <x:v>risk-score-0-100</x:v>
      </x:c>
      <x:c r="I67" s="19" t="str">
        <x:v>scored</x:v>
      </x:c>
      <x:c r="J67" s="19" t="str">
        <x:v>validated-from-governed-dataset</x:v>
      </x:c>
      <x:c r="K67" s="20"/>
      <x:c r="L67" s="19"/>
      <x:c r="M67" s="19" t="str">
        <x:v>r_rel=0.0417；r=100×(0.5×0.5+0.5×0.0417)=27.08</x:v>
      </x:c>
      <x:c r="N67" s="19" t="str">
        <x:v>2026-08-26</x:v>
      </x:c>
      <x:c r="O67" s="33" t="b">
        <x:v>1</x:v>
      </x:c>
      <x:c r="P67" s="19" t="str">
        <x:v>objective-four-20260826:hengrui-pharma:R13:risk-score</x:v>
      </x:c>
      <x:c r="Q67" s="19" t="str">
        <x:v>已验证</x:v>
      </x:c>
    </x:row>
    <x:row r="68" ht="15" hidden="0" customHeight="1">
      <x:c r="A68" s="19" t="str">
        <x:v>客观四企</x:v>
      </x:c>
      <x:c r="B68" s="19" t="str">
        <x:v>恒瑞医药</x:v>
      </x:c>
      <x:c r="C68" s="19" t="str">
        <x:v>R14</x:v>
      </x:c>
      <x:c r="D68" s="19" t="str">
        <x:v>objective_indicator_risk_score</x:v>
      </x:c>
      <x:c r="E68" s="19" t="str">
        <x:v>IRAWC-CRITIC-2026.08-v2</x:v>
      </x:c>
      <x:c r="F68" s="28" t="n">
        <x:v>75</x:v>
      </x:c>
      <x:c r="G68" s="28" t="n">
        <x:v>75</x:v>
      </x:c>
      <x:c r="H68" s="19" t="str">
        <x:v>risk-score-0-100</x:v>
      </x:c>
      <x:c r="I68" s="19" t="str">
        <x:v>scored</x:v>
      </x:c>
      <x:c r="J68" s="19" t="str">
        <x:v>validated-from-governed-dataset</x:v>
      </x:c>
      <x:c r="K68" s="20"/>
      <x:c r="L68" s="19"/>
      <x:c r="M68" s="19" t="str">
        <x:v>r_rel=1；r=100×(0.5×0.5+0.5×1)=75</x:v>
      </x:c>
      <x:c r="N68" s="19" t="str">
        <x:v>2026-08-26</x:v>
      </x:c>
      <x:c r="O68" s="33" t="b">
        <x:v>1</x:v>
      </x:c>
      <x:c r="P68" s="19" t="str">
        <x:v>objective-four-20260826:hengrui-pharma:R14:risk-score</x:v>
      </x:c>
      <x:c r="Q68" s="19" t="str">
        <x:v>已验证</x:v>
      </x:c>
    </x:row>
    <x:row r="69" ht="15" hidden="0" customHeight="1">
      <x:c r="A69" s="19" t="str">
        <x:v>客观四企</x:v>
      </x:c>
      <x:c r="B69" s="19" t="str">
        <x:v>恒瑞医药</x:v>
      </x:c>
      <x:c r="C69" s="19" t="str">
        <x:v>R15</x:v>
      </x:c>
      <x:c r="D69" s="19" t="str">
        <x:v>objective_indicator_risk_score</x:v>
      </x:c>
      <x:c r="E69" s="19" t="str">
        <x:v>IRAWC-CRITIC-2026.08-v2</x:v>
      </x:c>
      <x:c r="F69" s="28"/>
      <x:c r="G69" s="28"/>
      <x:c r="H69" s="19" t="str">
        <x:v>risk-score-0-100</x:v>
      </x:c>
      <x:c r="I69" s="19" t="str">
        <x:v>missing</x:v>
      </x:c>
      <x:c r="J69" s="19" t="str">
        <x:v>missing</x:v>
      </x:c>
      <x:c r="K69" s="20"/>
      <x:c r="L69" s="19"/>
      <x:c r="M69" s="19" t="str">
        <x:v>当前企业缺少可用数值；不补零，其他指标仍参与基准计算。</x:v>
      </x:c>
      <x:c r="N69" s="19" t="str">
        <x:v>2026-08-26</x:v>
      </x:c>
      <x:c r="O69" s="33" t="b">
        <x:v>0</x:v>
      </x:c>
      <x:c r="P69" s="19" t="str">
        <x:v>objective-four-20260826:hengrui-pharma:R15:risk-score</x:v>
      </x:c>
      <x:c r="Q69" s="19" t="str">
        <x:v>不可评分</x:v>
      </x:c>
    </x:row>
    <x:row r="70" ht="15" hidden="0" customHeight="1">
      <x:c r="A70" s="19" t="str">
        <x:v>客观四企</x:v>
      </x:c>
      <x:c r="B70" s="19" t="str">
        <x:v>恒瑞医药</x:v>
      </x:c>
      <x:c r="C70" s="19" t="str">
        <x:v>R16</x:v>
      </x:c>
      <x:c r="D70" s="19" t="str">
        <x:v>objective_indicator_risk_score</x:v>
      </x:c>
      <x:c r="E70" s="19" t="str">
        <x:v>IRAWC-CRITIC-2026.08-v2</x:v>
      </x:c>
      <x:c r="F70" s="28" t="n">
        <x:v>31</x:v>
      </x:c>
      <x:c r="G70" s="28" t="n">
        <x:v>31</x:v>
      </x:c>
      <x:c r="H70" s="19" t="str">
        <x:v>risk-score-0-100</x:v>
      </x:c>
      <x:c r="I70" s="19" t="str">
        <x:v>scored</x:v>
      </x:c>
      <x:c r="J70" s="19" t="str">
        <x:v>validated-from-governed-dataset</x:v>
      </x:c>
      <x:c r="K70" s="20"/>
      <x:c r="L70" s="19"/>
      <x:c r="M70" s="19" t="str">
        <x:v>r_rel=0.12；r=100×(0.5×0.5+0.5×0.12)=31</x:v>
      </x:c>
      <x:c r="N70" s="19" t="str">
        <x:v>2026-08-26</x:v>
      </x:c>
      <x:c r="O70" s="33" t="b">
        <x:v>1</x:v>
      </x:c>
      <x:c r="P70" s="19" t="str">
        <x:v>objective-four-20260826:hengrui-pharma:R16:risk-score</x:v>
      </x:c>
      <x:c r="Q70" s="19" t="str">
        <x:v>已验证</x:v>
      </x:c>
    </x:row>
    <x:row r="71" ht="15" hidden="0" customHeight="1">
      <x:c r="A71" s="19" t="str">
        <x:v>客观四企</x:v>
      </x:c>
      <x:c r="B71" s="19" t="str">
        <x:v>恒瑞医药</x:v>
      </x:c>
      <x:c r="C71" s="19" t="str">
        <x:v>R17</x:v>
      </x:c>
      <x:c r="D71" s="19" t="str">
        <x:v>objective_indicator_risk_score</x:v>
      </x:c>
      <x:c r="E71" s="19" t="str">
        <x:v>IRAWC-CRITIC-2026.08-v2</x:v>
      </x:c>
      <x:c r="F71" s="28"/>
      <x:c r="G71" s="28"/>
      <x:c r="H71" s="19" t="str">
        <x:v>risk-score-0-100</x:v>
      </x:c>
      <x:c r="I71" s="19" t="str">
        <x:v>missing</x:v>
      </x:c>
      <x:c r="J71" s="19" t="str">
        <x:v>missing</x:v>
      </x:c>
      <x:c r="K71" s="20"/>
      <x:c r="L71" s="19"/>
      <x:c r="M71" s="19" t="str">
        <x:v>当前企业缺少可用数值；不补零，其他指标仍参与基准计算。</x:v>
      </x:c>
      <x:c r="N71" s="19" t="str">
        <x:v>2026-08-26</x:v>
      </x:c>
      <x:c r="O71" s="33" t="b">
        <x:v>0</x:v>
      </x:c>
      <x:c r="P71" s="19" t="str">
        <x:v>objective-four-20260826:hengrui-pharma:R17:risk-score</x:v>
      </x:c>
      <x:c r="Q71" s="19" t="str">
        <x:v>不可评分</x:v>
      </x:c>
    </x:row>
    <x:row r="72" ht="15" hidden="0" customHeight="1">
      <x:c r="A72" s="19" t="str">
        <x:v>客观四企</x:v>
      </x:c>
      <x:c r="B72" s="19" t="str">
        <x:v>恒瑞医药</x:v>
      </x:c>
      <x:c r="C72" s="19" t="str">
        <x:v>R18</x:v>
      </x:c>
      <x:c r="D72" s="19" t="str">
        <x:v>objective_indicator_risk_score</x:v>
      </x:c>
      <x:c r="E72" s="19" t="str">
        <x:v>IRAWC-CRITIC-2026.08-v2</x:v>
      </x:c>
      <x:c r="F72" s="28" t="n">
        <x:v>43.18</x:v>
      </x:c>
      <x:c r="G72" s="28" t="n">
        <x:v>43.18</x:v>
      </x:c>
      <x:c r="H72" s="19" t="str">
        <x:v>risk-score-0-100</x:v>
      </x:c>
      <x:c r="I72" s="19" t="str">
        <x:v>scored</x:v>
      </x:c>
      <x:c r="J72" s="19" t="str">
        <x:v>validated-from-governed-dataset</x:v>
      </x:c>
      <x:c r="K72" s="20"/>
      <x:c r="L72" s="19"/>
      <x:c r="M72" s="19" t="str">
        <x:v>r_rel=0.3636；r=100×(0.5×0.5+0.5×0.3636)=43.18</x:v>
      </x:c>
      <x:c r="N72" s="19" t="str">
        <x:v>2026-08-26</x:v>
      </x:c>
      <x:c r="O72" s="33" t="b">
        <x:v>1</x:v>
      </x:c>
      <x:c r="P72" s="19" t="str">
        <x:v>objective-four-20260826:hengrui-pharma:R18:risk-score</x:v>
      </x:c>
      <x:c r="Q72" s="19" t="str">
        <x:v>已验证</x:v>
      </x:c>
    </x:row>
    <x:row r="73" ht="15" hidden="0" customHeight="1">
      <x:c r="A73" s="19" t="str">
        <x:v>客观四企</x:v>
      </x:c>
      <x:c r="B73" s="19" t="str">
        <x:v>恒瑞医药</x:v>
      </x:c>
      <x:c r="C73" s="19" t="str">
        <x:v>R19</x:v>
      </x:c>
      <x:c r="D73" s="19" t="str">
        <x:v>objective_indicator_risk_score</x:v>
      </x:c>
      <x:c r="E73" s="19" t="str">
        <x:v>IRAWC-CRITIC-2026.08-v2</x:v>
      </x:c>
      <x:c r="F73" s="28"/>
      <x:c r="G73" s="28"/>
      <x:c r="H73" s="19" t="str">
        <x:v>risk-score-0-100</x:v>
      </x:c>
      <x:c r="I73" s="19" t="str">
        <x:v>missing</x:v>
      </x:c>
      <x:c r="J73" s="19" t="str">
        <x:v>missing</x:v>
      </x:c>
      <x:c r="K73" s="20"/>
      <x:c r="L73" s="19"/>
      <x:c r="M73" s="19" t="str">
        <x:v>当前企业缺少可用数值；不补零，其他指标仍参与基准计算。</x:v>
      </x:c>
      <x:c r="N73" s="19" t="str">
        <x:v>2026-08-26</x:v>
      </x:c>
      <x:c r="O73" s="33" t="b">
        <x:v>0</x:v>
      </x:c>
      <x:c r="P73" s="19" t="str">
        <x:v>objective-four-20260826:hengrui-pharma:R19:risk-score</x:v>
      </x:c>
      <x:c r="Q73" s="19" t="str">
        <x:v>不可评分</x:v>
      </x:c>
    </x:row>
    <x:row r="74" ht="15" hidden="0" customHeight="1">
      <x:c r="A74" s="19" t="str">
        <x:v>客观四企</x:v>
      </x:c>
      <x:c r="B74" s="19" t="str">
        <x:v>恒瑞医药</x:v>
      </x:c>
      <x:c r="C74" s="19" t="str">
        <x:v>R20</x:v>
      </x:c>
      <x:c r="D74" s="19" t="str">
        <x:v>objective_indicator_risk_score</x:v>
      </x:c>
      <x:c r="E74" s="19" t="str">
        <x:v>IRAWC-CRITIC-2026.08-v2</x:v>
      </x:c>
      <x:c r="F74" s="28"/>
      <x:c r="G74" s="28"/>
      <x:c r="H74" s="19" t="str">
        <x:v>risk-score-0-100</x:v>
      </x:c>
      <x:c r="I74" s="19" t="str">
        <x:v>missing</x:v>
      </x:c>
      <x:c r="J74" s="19" t="str">
        <x:v>missing</x:v>
      </x:c>
      <x:c r="K74" s="20"/>
      <x:c r="L74" s="19"/>
      <x:c r="M74" s="19" t="str">
        <x:v>当前企业缺少可用数值；不补零，其他指标仍参与基准计算。</x:v>
      </x:c>
      <x:c r="N74" s="19" t="str">
        <x:v>2026-08-26</x:v>
      </x:c>
      <x:c r="O74" s="33" t="b">
        <x:v>0</x:v>
      </x:c>
      <x:c r="P74" s="19" t="str">
        <x:v>objective-four-20260826:hengrui-pharma:R20:risk-score</x:v>
      </x:c>
      <x:c r="Q74" s="19" t="str">
        <x:v>不可评分</x:v>
      </x:c>
    </x:row>
    <x:row r="75" ht="15" hidden="0" customHeight="1">
      <x:c r="A75" s="19" t="str">
        <x:v>客观四企</x:v>
      </x:c>
      <x:c r="B75" s="19" t="str">
        <x:v>恒瑞医药</x:v>
      </x:c>
      <x:c r="C75" s="19" t="str">
        <x:v>R21</x:v>
      </x:c>
      <x:c r="D75" s="19" t="str">
        <x:v>objective_indicator_risk_score</x:v>
      </x:c>
      <x:c r="E75" s="19" t="str">
        <x:v>IRAWC-CRITIC-2026.08-v2</x:v>
      </x:c>
      <x:c r="F75" s="28"/>
      <x:c r="G75" s="28"/>
      <x:c r="H75" s="19" t="str">
        <x:v>risk-score-0-100</x:v>
      </x:c>
      <x:c r="I75" s="19" t="str">
        <x:v>missing</x:v>
      </x:c>
      <x:c r="J75" s="19" t="str">
        <x:v>missing</x:v>
      </x:c>
      <x:c r="K75" s="20"/>
      <x:c r="L75" s="19"/>
      <x:c r="M75" s="19" t="str">
        <x:v>当前企业缺少可用数值；不补零，其他指标仍参与基准计算。</x:v>
      </x:c>
      <x:c r="N75" s="19" t="str">
        <x:v>2026-08-26</x:v>
      </x:c>
      <x:c r="O75" s="33" t="b">
        <x:v>0</x:v>
      </x:c>
      <x:c r="P75" s="19" t="str">
        <x:v>objective-four-20260826:hengrui-pharma:R21:risk-score</x:v>
      </x:c>
      <x:c r="Q75" s="19" t="str">
        <x:v>不可评分</x:v>
      </x:c>
    </x:row>
    <x:row r="76" ht="15" hidden="0" customHeight="1">
      <x:c r="A76" s="19" t="str">
        <x:v>客观四企</x:v>
      </x:c>
      <x:c r="B76" s="19" t="str">
        <x:v>恒瑞医药</x:v>
      </x:c>
      <x:c r="C76" s="19" t="str">
        <x:v>R22</x:v>
      </x:c>
      <x:c r="D76" s="19" t="str">
        <x:v>objective_indicator_risk_score</x:v>
      </x:c>
      <x:c r="E76" s="19" t="str">
        <x:v>IRAWC-CRITIC-2026.08-v2</x:v>
      </x:c>
      <x:c r="F76" s="28"/>
      <x:c r="G76" s="28"/>
      <x:c r="H76" s="19" t="str">
        <x:v>risk-score-0-100</x:v>
      </x:c>
      <x:c r="I76" s="19" t="str">
        <x:v>missing</x:v>
      </x:c>
      <x:c r="J76" s="19" t="str">
        <x:v>missing</x:v>
      </x:c>
      <x:c r="K76" s="20"/>
      <x:c r="L76" s="19"/>
      <x:c r="M76" s="19" t="str">
        <x:v>当前企业缺少可用数值；不补零，其他指标仍参与基准计算。</x:v>
      </x:c>
      <x:c r="N76" s="19" t="str">
        <x:v>2026-08-26</x:v>
      </x:c>
      <x:c r="O76" s="33" t="b">
        <x:v>0</x:v>
      </x:c>
      <x:c r="P76" s="19" t="str">
        <x:v>objective-four-20260826:hengrui-pharma:R22:risk-score</x:v>
      </x:c>
      <x:c r="Q76" s="19" t="str">
        <x:v>不可评分</x:v>
      </x:c>
    </x:row>
    <x:row r="77" ht="15" hidden="0" customHeight="1">
      <x:c r="A77" s="19" t="str">
        <x:v>客观四企</x:v>
      </x:c>
      <x:c r="B77" s="19" t="str">
        <x:v>寒武纪</x:v>
      </x:c>
      <x:c r="C77" s="19" t="str">
        <x:v>PDQI</x:v>
      </x:c>
      <x:c r="D77" s="19" t="str">
        <x:v>pdqi</x:v>
      </x:c>
      <x:c r="E77" s="19" t="str">
        <x:v>reference-range-[0.5,1.0]</x:v>
      </x:c>
      <x:c r="F77" s="28" t="n">
        <x:v>0.5183147695372634</x:v>
      </x:c>
      <x:c r="G77" s="28" t="n">
        <x:v>0.5183147695372634</x:v>
      </x:c>
      <x:c r="H77" s="19" t="str">
        <x:v>0-1</x:v>
      </x:c>
      <x:c r="I77" s="19" t="str">
        <x:v>experimental</x:v>
      </x:c>
      <x:c r="J77" s="19" t="str">
        <x:v>versioned-engineering-proxy</x:v>
      </x:c>
      <x:c r="K77" s="20"/>
      <x:c r="L77" s="19" t="str">
        <x:v>探索性</x:v>
      </x:c>
      <x:c r="M77" s="19" t="str">
        <x:v>1/4×[IS_norm+RDD+(1-RCA)+DSR]</x:v>
      </x:c>
      <x:c r="N77" s="19" t="str">
        <x:v>2026-08-26</x:v>
      </x:c>
      <x:c r="O77" s="33" t="b">
        <x:v>0</x:v>
      </x:c>
      <x:c r="P77" s="19" t="str">
        <x:v>objective-four-20260826:cambricon:pdqi-lite</x:v>
      </x:c>
      <x:c r="Q77" s="19" t="str">
        <x:v>条件可用</x:v>
      </x:c>
    </x:row>
    <x:row r="78" ht="15" hidden="0" customHeight="1">
      <x:c r="A78" s="19" t="str">
        <x:v>客观四企</x:v>
      </x:c>
      <x:c r="B78" s="19" t="str">
        <x:v>寒武纪</x:v>
      </x:c>
      <x:c r="C78" s="19" t="str">
        <x:v>ITAG</x:v>
      </x:c>
      <x:c r="D78" s="19" t="str">
        <x:v>itag</x:v>
      </x:c>
      <x:c r="E78" s="19" t="str">
        <x:v>cumulative-patent-proxy</x:v>
      </x:c>
      <x:c r="F78" s="28" t="n">
        <x:v>-3.2417630436967784</x:v>
      </x:c>
      <x:c r="G78" s="28" t="n">
        <x:v>-3.2417630436967784</x:v>
      </x:c>
      <x:c r="H78" s="19" t="str">
        <x:v>dimensionless</x:v>
      </x:c>
      <x:c r="I78" s="19" t="str">
        <x:v>experimental</x:v>
      </x:c>
      <x:c r="J78" s="19" t="str">
        <x:v>versioned-engineering-proxy</x:v>
      </x:c>
      <x:c r="K78" s="20"/>
      <x:c r="L78" s="19" t="str">
        <x:v>探索性</x:v>
      </x:c>
      <x:c r="M78" s="19" t="str">
        <x:v>ln(1+Talk)-ln(1+PatentProxy)</x:v>
      </x:c>
      <x:c r="N78" s="19" t="str">
        <x:v>2026-08-26</x:v>
      </x:c>
      <x:c r="O78" s="33" t="b">
        <x:v>0</x:v>
      </x:c>
      <x:c r="P78" s="19" t="str">
        <x:v>objective-four-20260826:cambricon:itag-lite</x:v>
      </x:c>
      <x:c r="Q78" s="19" t="str">
        <x:v>条件可用</x:v>
      </x:c>
    </x:row>
    <x:row r="79" ht="15" hidden="0" customHeight="1">
      <x:c r="A79" s="19" t="str">
        <x:v>客观四企</x:v>
      </x:c>
      <x:c r="B79" s="19" t="str">
        <x:v>寒武纪</x:v>
      </x:c>
      <x:c r="C79" s="19" t="str">
        <x:v>TONE</x:v>
      </x:c>
      <x:c r="D79" s="19" t="str">
        <x:v>management_tone</x:v>
      </x:c>
      <x:c r="E79" s="19" t="str">
        <x:v>legacy-inclusive-43-claimed</x:v>
      </x:c>
      <x:c r="F79" s="28" t="n">
        <x:v>0.7798165137614679</x:v>
      </x:c>
      <x:c r="G79" s="28"/>
      <x:c r="H79" s="19" t="str">
        <x:v>-1-to-1</x:v>
      </x:c>
      <x:c r="I79" s="19" t="str">
        <x:v>experimental</x:v>
      </x:c>
      <x:c r="J79" s="19" t="str">
        <x:v>superseded-by-QA-only-count-36</x:v>
      </x:c>
      <x:c r="K79" s="20"/>
      <x:c r="L79" s="19" t="str">
        <x:v>探索性</x:v>
      </x:c>
      <x:c r="M79" s="19" t="str">
        <x:v>(POS-NEG)/(POS+NEG)</x:v>
      </x:c>
      <x:c r="N79" s="19" t="str">
        <x:v>2026-08-26</x:v>
      </x:c>
      <x:c r="O79" s="33" t="b">
        <x:v>0</x:v>
      </x:c>
      <x:c r="P79" s="19" t="str">
        <x:v>objective-four-20260826:cambricon:tone</x:v>
      </x:c>
      <x:c r="Q79" s="19" t="str">
        <x:v>条件可用</x:v>
      </x:c>
    </x:row>
    <x:row r="80" ht="15" hidden="0" customHeight="1">
      <x:c r="A80" s="19" t="str">
        <x:v>客观四企</x:v>
      </x:c>
      <x:c r="B80" s="19" t="str">
        <x:v>燧原科技</x:v>
      </x:c>
      <x:c r="C80" s="19" t="str">
        <x:v>PDQI</x:v>
      </x:c>
      <x:c r="D80" s="19" t="str">
        <x:v>pdqi</x:v>
      </x:c>
      <x:c r="E80" s="19" t="str">
        <x:v>reference-range-[0.5,1.0]</x:v>
      </x:c>
      <x:c r="F80" s="28" t="n">
        <x:v>0.5512518244077691</x:v>
      </x:c>
      <x:c r="G80" s="28" t="n">
        <x:v>0.5512518244077691</x:v>
      </x:c>
      <x:c r="H80" s="19" t="str">
        <x:v>0-1</x:v>
      </x:c>
      <x:c r="I80" s="19" t="str">
        <x:v>experimental</x:v>
      </x:c>
      <x:c r="J80" s="19" t="str">
        <x:v>versioned-engineering-proxy</x:v>
      </x:c>
      <x:c r="K80" s="20"/>
      <x:c r="L80" s="19" t="str">
        <x:v>探索性</x:v>
      </x:c>
      <x:c r="M80" s="19" t="str">
        <x:v>1/4×[IS_norm+RDD+(1-RCA)+DSR]</x:v>
      </x:c>
      <x:c r="N80" s="19" t="str">
        <x:v>2026-08-26</x:v>
      </x:c>
      <x:c r="O80" s="33" t="b">
        <x:v>0</x:v>
      </x:c>
      <x:c r="P80" s="19" t="str">
        <x:v>objective-four-20260826:enflame:pdqi-lite</x:v>
      </x:c>
      <x:c r="Q80" s="19" t="str">
        <x:v>条件可用</x:v>
      </x:c>
    </x:row>
    <x:row r="81" ht="15" hidden="0" customHeight="1">
      <x:c r="A81" s="19" t="str">
        <x:v>客观四企</x:v>
      </x:c>
      <x:c r="B81" s="19" t="str">
        <x:v>燧原科技</x:v>
      </x:c>
      <x:c r="C81" s="19" t="str">
        <x:v>ITAG</x:v>
      </x:c>
      <x:c r="D81" s="19" t="str">
        <x:v>itag</x:v>
      </x:c>
      <x:c r="E81" s="19" t="str">
        <x:v>cumulative-patent-proxy</x:v>
      </x:c>
      <x:c r="F81" s="28" t="n">
        <x:v>-1.1339136796482556</x:v>
      </x:c>
      <x:c r="G81" s="28" t="n">
        <x:v>-1.1339136796482556</x:v>
      </x:c>
      <x:c r="H81" s="19" t="str">
        <x:v>dimensionless</x:v>
      </x:c>
      <x:c r="I81" s="19" t="str">
        <x:v>experimental</x:v>
      </x:c>
      <x:c r="J81" s="19" t="str">
        <x:v>versioned-engineering-proxy</x:v>
      </x:c>
      <x:c r="K81" s="20"/>
      <x:c r="L81" s="19" t="str">
        <x:v>探索性</x:v>
      </x:c>
      <x:c r="M81" s="19" t="str">
        <x:v>ln(1+Talk)-ln(1+PatentProxy)</x:v>
      </x:c>
      <x:c r="N81" s="19" t="str">
        <x:v>2026-08-26</x:v>
      </x:c>
      <x:c r="O81" s="33" t="b">
        <x:v>0</x:v>
      </x:c>
      <x:c r="P81" s="19" t="str">
        <x:v>objective-four-20260826:enflame:itag-lite</x:v>
      </x:c>
      <x:c r="Q81" s="19" t="str">
        <x:v>条件可用</x:v>
      </x:c>
    </x:row>
    <x:row r="82" ht="15" hidden="0" customHeight="1">
      <x:c r="A82" s="19" t="str">
        <x:v>客观四企</x:v>
      </x:c>
      <x:c r="B82" s="19" t="str">
        <x:v>燧原科技</x:v>
      </x:c>
      <x:c r="C82" s="19" t="str">
        <x:v>TONE</x:v>
      </x:c>
      <x:c r="D82" s="19" t="str">
        <x:v>management_tone</x:v>
      </x:c>
      <x:c r="E82" s="19" t="str">
        <x:v>legacy-QA-selection</x:v>
      </x:c>
      <x:c r="F82" s="28"/>
      <x:c r="G82" s="28"/>
      <x:c r="H82" s="19" t="str">
        <x:v>-1-to-1</x:v>
      </x:c>
      <x:c r="I82" s="19" t="str">
        <x:v>experimental</x:v>
      </x:c>
      <x:c r="J82" s="19" t="str">
        <x:v>conditional</x:v>
      </x:c>
      <x:c r="K82" s="20"/>
      <x:c r="L82" s="19" t="str">
        <x:v>探索性</x:v>
      </x:c>
      <x:c r="M82" s="19" t="str">
        <x:v>(POS-NEG)/(POS+NEG)</x:v>
      </x:c>
      <x:c r="N82" s="19" t="str">
        <x:v>2026-08-26</x:v>
      </x:c>
      <x:c r="O82" s="33" t="b">
        <x:v>0</x:v>
      </x:c>
      <x:c r="P82" s="19" t="str">
        <x:v>objective-four-20260826:enflame:tone</x:v>
      </x:c>
      <x:c r="Q82" s="19" t="str">
        <x:v>条件可用</x:v>
      </x:c>
    </x:row>
    <x:row r="83" ht="15" hidden="0" customHeight="1">
      <x:c r="A83" s="19" t="str">
        <x:v>客观四企</x:v>
      </x:c>
      <x:c r="B83" s="19" t="str">
        <x:v>华微电子</x:v>
      </x:c>
      <x:c r="C83" s="19" t="str">
        <x:v>PDQI</x:v>
      </x:c>
      <x:c r="D83" s="19" t="str">
        <x:v>pdqi</x:v>
      </x:c>
      <x:c r="E83" s="19" t="str">
        <x:v>reference-range-[0.5,1.0]</x:v>
      </x:c>
      <x:c r="F83" s="28" t="n">
        <x:v>0.30926323763955343</x:v>
      </x:c>
      <x:c r="G83" s="28" t="n">
        <x:v>0.30926323763955343</x:v>
      </x:c>
      <x:c r="H83" s="19" t="str">
        <x:v>0-1</x:v>
      </x:c>
      <x:c r="I83" s="19" t="str">
        <x:v>experimental</x:v>
      </x:c>
      <x:c r="J83" s="19" t="str">
        <x:v>versioned-engineering-proxy</x:v>
      </x:c>
      <x:c r="K83" s="20"/>
      <x:c r="L83" s="19" t="str">
        <x:v>探索性</x:v>
      </x:c>
      <x:c r="M83" s="19" t="str">
        <x:v>1/4×[IS_norm+RDD+(1-RCA)+DSR]</x:v>
      </x:c>
      <x:c r="N83" s="19" t="str">
        <x:v>2026-08-26</x:v>
      </x:c>
      <x:c r="O83" s="33" t="b">
        <x:v>0</x:v>
      </x:c>
      <x:c r="P83" s="19" t="str">
        <x:v>objective-four-20260826:huami-electronics:pdqi-lite</x:v>
      </x:c>
      <x:c r="Q83" s="19" t="str">
        <x:v>条件可用</x:v>
      </x:c>
    </x:row>
    <x:row r="84" ht="15" hidden="0" customHeight="1">
      <x:c r="A84" s="19" t="str">
        <x:v>客观四企</x:v>
      </x:c>
      <x:c r="B84" s="19" t="str">
        <x:v>华微电子</x:v>
      </x:c>
      <x:c r="C84" s="19" t="str">
        <x:v>ITAG</x:v>
      </x:c>
      <x:c r="D84" s="19" t="str">
        <x:v>itag</x:v>
      </x:c>
      <x:c r="E84" s="19" t="str">
        <x:v>cumulative-patent-proxy</x:v>
      </x:c>
      <x:c r="F84" s="28" t="n">
        <x:v>-1.2846179988851185</x:v>
      </x:c>
      <x:c r="G84" s="28" t="n">
        <x:v>-1.2846179988851185</x:v>
      </x:c>
      <x:c r="H84" s="19" t="str">
        <x:v>dimensionless</x:v>
      </x:c>
      <x:c r="I84" s="19" t="str">
        <x:v>experimental</x:v>
      </x:c>
      <x:c r="J84" s="19" t="str">
        <x:v>versioned-engineering-proxy</x:v>
      </x:c>
      <x:c r="K84" s="20"/>
      <x:c r="L84" s="19" t="str">
        <x:v>探索性</x:v>
      </x:c>
      <x:c r="M84" s="19" t="str">
        <x:v>ln(1+Talk)-ln(1+PatentProxy)</x:v>
      </x:c>
      <x:c r="N84" s="19" t="str">
        <x:v>2026-08-26</x:v>
      </x:c>
      <x:c r="O84" s="33" t="b">
        <x:v>0</x:v>
      </x:c>
      <x:c r="P84" s="19" t="str">
        <x:v>objective-four-20260826:huami-electronics:itag-lite</x:v>
      </x:c>
      <x:c r="Q84" s="19" t="str">
        <x:v>条件可用</x:v>
      </x:c>
    </x:row>
    <x:row r="85" ht="15" hidden="0" customHeight="1">
      <x:c r="A85" s="19" t="str">
        <x:v>客观四企</x:v>
      </x:c>
      <x:c r="B85" s="19" t="str">
        <x:v>华微电子</x:v>
      </x:c>
      <x:c r="C85" s="19" t="str">
        <x:v>TONE</x:v>
      </x:c>
      <x:c r="D85" s="19" t="str">
        <x:v>management_tone</x:v>
      </x:c>
      <x:c r="E85" s="19" t="str">
        <x:v>legacy-QA-selection</x:v>
      </x:c>
      <x:c r="F85" s="28"/>
      <x:c r="G85" s="28"/>
      <x:c r="H85" s="19" t="str">
        <x:v>-1-to-1</x:v>
      </x:c>
      <x:c r="I85" s="19" t="str">
        <x:v>experimental</x:v>
      </x:c>
      <x:c r="J85" s="19" t="str">
        <x:v>conditional</x:v>
      </x:c>
      <x:c r="K85" s="20"/>
      <x:c r="L85" s="19" t="str">
        <x:v>探索性</x:v>
      </x:c>
      <x:c r="M85" s="19" t="str">
        <x:v>(POS-NEG)/(POS+NEG)</x:v>
      </x:c>
      <x:c r="N85" s="19" t="str">
        <x:v>2026-08-26</x:v>
      </x:c>
      <x:c r="O85" s="33" t="b">
        <x:v>0</x:v>
      </x:c>
      <x:c r="P85" s="19" t="str">
        <x:v>objective-four-20260826:huami-electronics:tone</x:v>
      </x:c>
      <x:c r="Q85" s="19" t="str">
        <x:v>条件可用</x:v>
      </x:c>
    </x:row>
    <x:row r="86" ht="15" hidden="0" customHeight="1">
      <x:c r="A86" s="19" t="str">
        <x:v>客观四企</x:v>
      </x:c>
      <x:c r="B86" s="19" t="str">
        <x:v>恒瑞医药</x:v>
      </x:c>
      <x:c r="C86" s="19" t="str">
        <x:v>PDQI</x:v>
      </x:c>
      <x:c r="D86" s="19" t="str">
        <x:v>pdqi</x:v>
      </x:c>
      <x:c r="E86" s="19" t="str">
        <x:v>reference-range-[0.5,1.0]</x:v>
      </x:c>
      <x:c r="F86" s="28" t="n">
        <x:v>0.5223492335807257</x:v>
      </x:c>
      <x:c r="G86" s="28" t="n">
        <x:v>0.5223492335807257</x:v>
      </x:c>
      <x:c r="H86" s="19" t="str">
        <x:v>0-1</x:v>
      </x:c>
      <x:c r="I86" s="19" t="str">
        <x:v>experimental</x:v>
      </x:c>
      <x:c r="J86" s="19" t="str">
        <x:v>versioned-engineering-proxy</x:v>
      </x:c>
      <x:c r="K86" s="20"/>
      <x:c r="L86" s="19" t="str">
        <x:v>探索性</x:v>
      </x:c>
      <x:c r="M86" s="19" t="str">
        <x:v>1/4×[IS_norm+RDD+(1-RCA)+DSR]</x:v>
      </x:c>
      <x:c r="N86" s="19" t="str">
        <x:v>2026-08-26</x:v>
      </x:c>
      <x:c r="O86" s="33" t="b">
        <x:v>0</x:v>
      </x:c>
      <x:c r="P86" s="19" t="str">
        <x:v>objective-four-20260826:hengrui-pharma:pdqi-lite</x:v>
      </x:c>
      <x:c r="Q86" s="19" t="str">
        <x:v>条件可用</x:v>
      </x:c>
    </x:row>
    <x:row r="87" ht="15" hidden="0" customHeight="1">
      <x:c r="A87" s="19" t="str">
        <x:v>客观四企</x:v>
      </x:c>
      <x:c r="B87" s="19" t="str">
        <x:v>恒瑞医药</x:v>
      </x:c>
      <x:c r="C87" s="19" t="str">
        <x:v>ITAG</x:v>
      </x:c>
      <x:c r="D87" s="19" t="str">
        <x:v>itag</x:v>
      </x:c>
      <x:c r="E87" s="19" t="str">
        <x:v>cumulative-patent-proxy</x:v>
      </x:c>
      <x:c r="F87" s="28" t="n">
        <x:v>-3.948441712784252</x:v>
      </x:c>
      <x:c r="G87" s="28" t="n">
        <x:v>-3.948441712784252</x:v>
      </x:c>
      <x:c r="H87" s="19" t="str">
        <x:v>dimensionless</x:v>
      </x:c>
      <x:c r="I87" s="19" t="str">
        <x:v>experimental</x:v>
      </x:c>
      <x:c r="J87" s="19" t="str">
        <x:v>versioned-engineering-proxy</x:v>
      </x:c>
      <x:c r="K87" s="20"/>
      <x:c r="L87" s="19" t="str">
        <x:v>探索性</x:v>
      </x:c>
      <x:c r="M87" s="19" t="str">
        <x:v>ln(1+Talk)-ln(1+PatentProxy)</x:v>
      </x:c>
      <x:c r="N87" s="19" t="str">
        <x:v>2026-08-26</x:v>
      </x:c>
      <x:c r="O87" s="33" t="b">
        <x:v>0</x:v>
      </x:c>
      <x:c r="P87" s="19" t="str">
        <x:v>objective-four-20260826:hengrui-pharma:itag-lite</x:v>
      </x:c>
      <x:c r="Q87" s="19" t="str">
        <x:v>条件可用</x:v>
      </x:c>
    </x:row>
    <x:row r="88" ht="15" hidden="0" customHeight="1">
      <x:c r="A88" s="19" t="str">
        <x:v>客观四企</x:v>
      </x:c>
      <x:c r="B88" s="19" t="str">
        <x:v>恒瑞医药</x:v>
      </x:c>
      <x:c r="C88" s="19" t="str">
        <x:v>TONE</x:v>
      </x:c>
      <x:c r="D88" s="19" t="str">
        <x:v>management_tone</x:v>
      </x:c>
      <x:c r="E88" s="19" t="str">
        <x:v>legacy-QA-selection</x:v>
      </x:c>
      <x:c r="F88" s="28" t="n">
        <x:v>0.43529411764705883</x:v>
      </x:c>
      <x:c r="G88" s="28" t="n">
        <x:v>0.43529411764705883</x:v>
      </x:c>
      <x:c r="H88" s="19" t="str">
        <x:v>-1-to-1</x:v>
      </x:c>
      <x:c r="I88" s="19" t="str">
        <x:v>experimental</x:v>
      </x:c>
      <x:c r="J88" s="19" t="str">
        <x:v>conditional</x:v>
      </x:c>
      <x:c r="K88" s="20"/>
      <x:c r="L88" s="19" t="str">
        <x:v>探索性</x:v>
      </x:c>
      <x:c r="M88" s="19" t="str">
        <x:v>(POS-NEG)/(POS+NEG)</x:v>
      </x:c>
      <x:c r="N88" s="19" t="str">
        <x:v>2026-08-26</x:v>
      </x:c>
      <x:c r="O88" s="33" t="b">
        <x:v>0</x:v>
      </x:c>
      <x:c r="P88" s="19" t="str">
        <x:v>objective-four-20260826:hengrui-pharma:tone</x:v>
      </x:c>
      <x:c r="Q88" s="19" t="str">
        <x:v>条件可用</x:v>
      </x:c>
    </x:row>
    <x:row r="89" ht="15" hidden="0" customHeight="1">
      <x:c r="A89" s="19" t="str">
        <x:v>R01–R04审计</x:v>
      </x:c>
      <x:c r="B89" s="19" t="str">
        <x:v>寒武纪</x:v>
      </x:c>
      <x:c r="C89" s="19" t="str">
        <x:v>R01</x:v>
      </x:c>
      <x:c r="D89" s="19" t="str">
        <x:v>ITAG_self_only</x:v>
      </x:c>
      <x:c r="E89" s="19" t="str">
        <x:v>可计算-文档方案二个体口径</x:v>
      </x:c>
      <x:c r="F89" s="28" t="n">
        <x:v>-0.7697671615382826</x:v>
      </x:c>
      <x:c r="G89" s="28" t="n">
        <x:v>-0.7697671615382826</x:v>
      </x:c>
      <x:c r="H89" s="19" t="str">
        <x:v>无量纲</x:v>
      </x:c>
      <x:c r="I89" s="19" t="str">
        <x:v>可计算-文档方案二个体口径</x:v>
      </x:c>
      <x:c r="J89" s="19" t="str">
        <x:v>formula-validated-evidence-conditional</x:v>
      </x:c>
      <x:c r="K89" s="20" t="n">
        <x:v>0.9</x:v>
      </x:c>
      <x:c r="L89" s="19" t="str">
        <x:v>高</x:v>
      </x:c>
      <x:c r="M89" s="19" t="str">
        <x:v>ln(1+Talk)-ln(1+当年发明专利申请数)，Talk=MD&amp;A创新词频/有效词数×1000</x:v>
      </x:c>
      <x:c r="N89" s="19" t="str">
        <x:v>2026-08-26</x:v>
      </x:c>
      <x:c r="O89" s="33" t="b">
        <x:v>0</x:v>
      </x:c>
      <x:c r="P89" s="19" t="str">
        <x:v>r01-r04-audit-20260826:cambricon-r01-ITAG_self_only</x:v>
      </x:c>
      <x:c r="Q89" s="19" t="str">
        <x:v>已验证</x:v>
      </x:c>
    </x:row>
    <x:row r="90" ht="15" hidden="0" customHeight="1">
      <x:c r="A90" s="19" t="str">
        <x:v>R01–R04审计</x:v>
      </x:c>
      <x:c r="B90" s="19" t="str">
        <x:v>左江科技</x:v>
      </x:c>
      <x:c r="C90" s="19" t="str">
        <x:v>R01</x:v>
      </x:c>
      <x:c r="D90" s="19" t="str">
        <x:v>ITAG_self_only</x:v>
      </x:c>
      <x:c r="E90" s="19" t="str">
        <x:v>缺失</x:v>
      </x:c>
      <x:c r="F90" s="28"/>
      <x:c r="G90" s="28"/>
      <x:c r="H90" s="19" t="str">
        <x:v>无量纲</x:v>
      </x:c>
      <x:c r="I90" s="19" t="str">
        <x:v>缺失</x:v>
      </x:c>
      <x:c r="J90" s="19" t="str">
        <x:v>missing</x:v>
      </x:c>
      <x:c r="K90" s="20" t="n">
        <x:v>0</x:v>
      </x:c>
      <x:c r="L90" s="19" t="str">
        <x:v>NA</x:v>
      </x:c>
      <x:c r="M90" s="19" t="str">
        <x:v>ln(1+Talk)-ln(1+当年发明专利申请数)，Talk=MD&amp;A创新词频/有效词数×1000</x:v>
      </x:c>
      <x:c r="N90" s="19" t="str">
        <x:v>2023-11-30</x:v>
      </x:c>
      <x:c r="O90" s="33" t="b">
        <x:v>0</x:v>
      </x:c>
      <x:c r="P90" s="19" t="str">
        <x:v>r01-r04-audit-20260826:zuojiang-r01-ITAG_self_only</x:v>
      </x:c>
      <x:c r="Q90" s="19" t="str">
        <x:v>不可评分</x:v>
      </x:c>
    </x:row>
    <x:row r="91" ht="15" hidden="0" customHeight="1">
      <x:c r="A91" s="19" t="str">
        <x:v>R01–R04审计</x:v>
      </x:c>
      <x:c r="B91" s="19" t="str">
        <x:v>芯驰科技</x:v>
      </x:c>
      <x:c r="C91" s="19" t="str">
        <x:v>R01</x:v>
      </x:c>
      <x:c r="D91" s="19" t="str">
        <x:v>ITAG_self_only</x:v>
      </x:c>
      <x:c r="E91" s="19" t="str">
        <x:v>缺失</x:v>
      </x:c>
      <x:c r="F91" s="28"/>
      <x:c r="G91" s="28"/>
      <x:c r="H91" s="19" t="str">
        <x:v>无量纲</x:v>
      </x:c>
      <x:c r="I91" s="19" t="str">
        <x:v>缺失</x:v>
      </x:c>
      <x:c r="J91" s="19" t="str">
        <x:v>missing</x:v>
      </x:c>
      <x:c r="K91" s="20" t="n">
        <x:v>0</x:v>
      </x:c>
      <x:c r="L91" s="19" t="str">
        <x:v>NA</x:v>
      </x:c>
      <x:c r="M91" s="19" t="str">
        <x:v>ln(1+Talk)-ln(1+当年发明专利申请数)</x:v>
      </x:c>
      <x:c r="N91" s="19" t="str">
        <x:v>2026-08-26</x:v>
      </x:c>
      <x:c r="O91" s="33" t="b">
        <x:v>0</x:v>
      </x:c>
      <x:c r="P91" s="19" t="str">
        <x:v>r01-r04-audit-20260826:semidrive-r01-ITAG_self_only</x:v>
      </x:c>
      <x:c r="Q91" s="19" t="str">
        <x:v>不可评分</x:v>
      </x:c>
    </x:row>
    <x:row r="92" ht="15" hidden="0" customHeight="1">
      <x:c r="A92" s="19" t="str">
        <x:v>R01–R04审计</x:v>
      </x:c>
      <x:c r="B92" s="19" t="str">
        <x:v>百利天恒</x:v>
      </x:c>
      <x:c r="C92" s="19" t="str">
        <x:v>R01</x:v>
      </x:c>
      <x:c r="D92" s="19" t="str">
        <x:v>ITAG_self_only</x:v>
      </x:c>
      <x:c r="E92" s="19" t="str">
        <x:v>可计算-文档方案二个体口径</x:v>
      </x:c>
      <x:c r="F92" s="28" t="n">
        <x:v>-1.081654002347822</x:v>
      </x:c>
      <x:c r="G92" s="28" t="n">
        <x:v>-1.081654002347822</x:v>
      </x:c>
      <x:c r="H92" s="19" t="str">
        <x:v>无量纲</x:v>
      </x:c>
      <x:c r="I92" s="19" t="str">
        <x:v>可计算-文档方案二个体口径</x:v>
      </x:c>
      <x:c r="J92" s="19" t="str">
        <x:v>formula-validated-evidence-conditional</x:v>
      </x:c>
      <x:c r="K92" s="20" t="n">
        <x:v>0.9</x:v>
      </x:c>
      <x:c r="L92" s="19" t="str">
        <x:v>高</x:v>
      </x:c>
      <x:c r="M92" s="19" t="str">
        <x:v>ln(1+Talk)-ln(1+当年发明专利申请数)，Talk=MD&amp;A创新词频/有效词数×1000</x:v>
      </x:c>
      <x:c r="N92" s="19" t="str">
        <x:v>2026-08-26</x:v>
      </x:c>
      <x:c r="O92" s="33" t="b">
        <x:v>0</x:v>
      </x:c>
      <x:c r="P92" s="19" t="str">
        <x:v>r01-r04-audit-20260826:bailitannheng-r01-ITAG_self_only</x:v>
      </x:c>
      <x:c r="Q92" s="19" t="str">
        <x:v>已验证</x:v>
      </x:c>
    </x:row>
    <x:row r="93" ht="15" hidden="0" customHeight="1">
      <x:c r="A93" s="19" t="str">
        <x:v>R01–R04审计</x:v>
      </x:c>
      <x:c r="B93" s="19" t="str">
        <x:v>寒武纪</x:v>
      </x:c>
      <x:c r="C93" s="19" t="str">
        <x:v>R01</x:v>
      </x:c>
      <x:c r="D93" s="19" t="str">
        <x:v>DTQ_fundamental_gap_proxy</x:v>
      </x:c>
      <x:c r="E93" s="19" t="str">
        <x:v>代理值-非正式评分</x:v>
      </x:c>
      <x:c r="F93" s="28" t="n">
        <x:v>-0.9402527717400946</x:v>
      </x:c>
      <x:c r="G93" s="28"/>
      <x:c r="H93" s="19" t="str">
        <x:v>无量纲</x:v>
      </x:c>
      <x:c r="I93" s="19" t="str">
        <x:v>代理值-非正式评分</x:v>
      </x:c>
      <x:c r="J93" s="19" t="str">
        <x:v>invalidated-duplicate-source-weighting</x:v>
      </x:c>
      <x:c r="K93" s="20" t="n">
        <x:v>0.58</x:v>
      </x:c>
      <x:c r="L93" s="19" t="str">
        <x:v>中</x:v>
      </x:c>
      <x:c r="M93" s="19" t="str">
        <x:v>[ln(本季绩效说明会叙事提问数+全文媒体数+1)-ln(上季同口径+1)]-营收同比增速/100</x:v>
      </x:c>
      <x:c r="N93" s="19" t="str">
        <x:v>2026-08-26</x:v>
      </x:c>
      <x:c r="O93" s="33" t="b">
        <x:v>0</x:v>
      </x:c>
      <x:c r="P93" s="19" t="str">
        <x:v>r01-r04-audit-20260826:cambricon-r01-DTQ_fundamental_gap_proxy</x:v>
      </x:c>
      <x:c r="Q93" s="19" t="str">
        <x:v>不可评分</x:v>
      </x:c>
    </x:row>
    <x:row r="94" ht="15" hidden="0" customHeight="1">
      <x:c r="A94" s="19" t="str">
        <x:v>R01–R04审计</x:v>
      </x:c>
      <x:c r="B94" s="19" t="str">
        <x:v>左江科技</x:v>
      </x:c>
      <x:c r="C94" s="19" t="str">
        <x:v>R01</x:v>
      </x:c>
      <x:c r="D94" s="19" t="str">
        <x:v>DTQ_fundamental_gap_proxy</x:v>
      </x:c>
      <x:c r="E94" s="19" t="str">
        <x:v>缺失</x:v>
      </x:c>
      <x:c r="F94" s="28"/>
      <x:c r="G94" s="28"/>
      <x:c r="H94" s="19" t="str">
        <x:v>无量纲</x:v>
      </x:c>
      <x:c r="I94" s="19" t="str">
        <x:v>缺失</x:v>
      </x:c>
      <x:c r="J94" s="19" t="str">
        <x:v>missing</x:v>
      </x:c>
      <x:c r="K94" s="20" t="n">
        <x:v>0</x:v>
      </x:c>
      <x:c r="L94" s="19" t="str">
        <x:v>NA</x:v>
      </x:c>
      <x:c r="M94" s="19" t="str">
        <x:v>[ln(本季绩效说明会叙事提问数+全文媒体数+1)-ln(上季同口径+1)]-营收同比增速/100</x:v>
      </x:c>
      <x:c r="N94" s="19" t="str">
        <x:v>2023-11-30</x:v>
      </x:c>
      <x:c r="O94" s="33" t="b">
        <x:v>0</x:v>
      </x:c>
      <x:c r="P94" s="19" t="str">
        <x:v>r01-r04-audit-20260826:zuojiang-r01-DTQ_fundamental_gap_proxy</x:v>
      </x:c>
      <x:c r="Q94" s="19" t="str">
        <x:v>不可评分</x:v>
      </x:c>
    </x:row>
    <x:row r="95" ht="15" hidden="0" customHeight="1">
      <x:c r="A95" s="19" t="str">
        <x:v>R01–R04审计</x:v>
      </x:c>
      <x:c r="B95" s="19" t="str">
        <x:v>芯驰科技</x:v>
      </x:c>
      <x:c r="C95" s="19" t="str">
        <x:v>R01</x:v>
      </x:c>
      <x:c r="D95" s="19" t="str">
        <x:v>DTQ_fundamental_gap_proxy</x:v>
      </x:c>
      <x:c r="E95" s="19" t="str">
        <x:v>缺失</x:v>
      </x:c>
      <x:c r="F95" s="28"/>
      <x:c r="G95" s="28"/>
      <x:c r="H95" s="19" t="str">
        <x:v>无量纲</x:v>
      </x:c>
      <x:c r="I95" s="19" t="str">
        <x:v>缺失</x:v>
      </x:c>
      <x:c r="J95" s="19" t="str">
        <x:v>missing</x:v>
      </x:c>
      <x:c r="K95" s="20" t="n">
        <x:v>0</x:v>
      </x:c>
      <x:c r="L95" s="19" t="str">
        <x:v>NA</x:v>
      </x:c>
      <x:c r="M95" s="19" t="str">
        <x:v>[ln(本季绩效说明会叙事提问数+全文媒体数+1)-ln(上季同口径+1)]-营收同比增速/100</x:v>
      </x:c>
      <x:c r="N95" s="19" t="str">
        <x:v>2026-08-26</x:v>
      </x:c>
      <x:c r="O95" s="33" t="b">
        <x:v>0</x:v>
      </x:c>
      <x:c r="P95" s="19" t="str">
        <x:v>r01-r04-audit-20260826:semidrive-r01-DTQ_fundamental_gap_proxy</x:v>
      </x:c>
      <x:c r="Q95" s="19" t="str">
        <x:v>不可评分</x:v>
      </x:c>
    </x:row>
    <x:row r="96" ht="15" hidden="0" customHeight="1">
      <x:c r="A96" s="19" t="str">
        <x:v>R01–R04审计</x:v>
      </x:c>
      <x:c r="B96" s="19" t="str">
        <x:v>百利天恒</x:v>
      </x:c>
      <x:c r="C96" s="19" t="str">
        <x:v>R01</x:v>
      </x:c>
      <x:c r="D96" s="19" t="str">
        <x:v>DTQ_fundamental_gap_proxy</x:v>
      </x:c>
      <x:c r="E96" s="19" t="str">
        <x:v>代理值-非正式评分</x:v>
      </x:c>
      <x:c r="F96" s="28" t="n">
        <x:v>0.1617278406782773</x:v>
      </x:c>
      <x:c r="G96" s="28" t="n">
        <x:v>0.1617278406782773</x:v>
      </x:c>
      <x:c r="H96" s="19" t="str">
        <x:v>无量纲</x:v>
      </x:c>
      <x:c r="I96" s="19" t="str">
        <x:v>代理值-非正式评分</x:v>
      </x:c>
      <x:c r="J96" s="19" t="str">
        <x:v>formula-validated-evidence-conditional</x:v>
      </x:c>
      <x:c r="K96" s="20" t="n">
        <x:v>0.58</x:v>
      </x:c>
      <x:c r="L96" s="19" t="str">
        <x:v>中</x:v>
      </x:c>
      <x:c r="M96" s="19" t="str">
        <x:v>[ln(本季绩效说明会叙事提问数+全文媒体数+1)-ln(上季同口径+1)]-营收同比增速/100</x:v>
      </x:c>
      <x:c r="N96" s="19" t="str">
        <x:v>2026-08-26</x:v>
      </x:c>
      <x:c r="O96" s="33" t="b">
        <x:v>0</x:v>
      </x:c>
      <x:c r="P96" s="19" t="str">
        <x:v>r01-r04-audit-20260826:bailitannheng-r01-DTQ_fundamental_gap_proxy</x:v>
      </x:c>
      <x:c r="Q96" s="19" t="str">
        <x:v>已验证</x:v>
      </x:c>
    </x:row>
    <x:row r="97" ht="15" hidden="0" customHeight="1">
      <x:c r="A97" s="19" t="str">
        <x:v>R01–R04审计</x:v>
      </x:c>
      <x:c r="B97" s="19" t="str">
        <x:v>寒武纪</x:v>
      </x:c>
      <x:c r="C97" s="19" t="str">
        <x:v>R02</x:v>
      </x:c>
      <x:c r="D97" s="19" t="str">
        <x:v>self_third_party_exaggeration_density_gap</x:v>
      </x:c>
      <x:c r="E97" s="19" t="str">
        <x:v>可计算-固定全文样本</x:v>
      </x:c>
      <x:c r="F97" s="28" t="n">
        <x:v>0.0008277363544615317</x:v>
      </x:c>
      <x:c r="G97" s="28"/>
      <x:c r="H97" s="19" t="str">
        <x:v>比例</x:v>
      </x:c>
      <x:c r="I97" s="19" t="str">
        <x:v>可计算-固定全文样本</x:v>
      </x:c>
      <x:c r="J97" s="19" t="str">
        <x:v>invalidated-duplicate-source-weighting</x:v>
      </x:c>
      <x:c r="K97" s="20" t="n">
        <x:v>0.82</x:v>
      </x:c>
      <x:c r="L97" s="19" t="str">
        <x:v>中高</x:v>
      </x:c>
      <x:c r="M97" s="19" t="str">
        <x:v>|公司自述夸张性词数/公司自述有效词数-第三方夸张性词数/第三方有效词数|</x:v>
      </x:c>
      <x:c r="N97" s="19" t="str">
        <x:v>2026-08-26</x:v>
      </x:c>
      <x:c r="O97" s="33" t="b">
        <x:v>0</x:v>
      </x:c>
      <x:c r="P97" s="19" t="str">
        <x:v>r01-r04-audit-20260826:cambricon-r02-self_third_party_exaggeration_density_gap</x:v>
      </x:c>
      <x:c r="Q97" s="19" t="str">
        <x:v>不可评分</x:v>
      </x:c>
    </x:row>
    <x:row r="98" ht="15" hidden="0" customHeight="1">
      <x:c r="A98" s="19" t="str">
        <x:v>R01–R04审计</x:v>
      </x:c>
      <x:c r="B98" s="19" t="str">
        <x:v>左江科技</x:v>
      </x:c>
      <x:c r="C98" s="19" t="str">
        <x:v>R02</x:v>
      </x:c>
      <x:c r="D98" s="19" t="str">
        <x:v>self_third_party_exaggeration_density_gap</x:v>
      </x:c>
      <x:c r="E98" s="19" t="str">
        <x:v>部分覆盖-代理值</x:v>
      </x:c>
      <x:c r="F98" s="28" t="n">
        <x:v>0.002022874037189761</x:v>
      </x:c>
      <x:c r="G98" s="28" t="n">
        <x:v>0.002022874037189761</x:v>
      </x:c>
      <x:c r="H98" s="19" t="str">
        <x:v>比例</x:v>
      </x:c>
      <x:c r="I98" s="19" t="str">
        <x:v>部分覆盖-代理值</x:v>
      </x:c>
      <x:c r="J98" s="19" t="str">
        <x:v>formula-validated-evidence-conditional</x:v>
      </x:c>
      <x:c r="K98" s="20" t="n">
        <x:v>0.62</x:v>
      </x:c>
      <x:c r="L98" s="19" t="str">
        <x:v>中</x:v>
      </x:c>
      <x:c r="M98" s="19" t="str">
        <x:v>|公司自述夸张性词数/公司自述有效词数-第三方夸张性词数/第三方有效词数|</x:v>
      </x:c>
      <x:c r="N98" s="19" t="str">
        <x:v>2023-11-30</x:v>
      </x:c>
      <x:c r="O98" s="33" t="b">
        <x:v>0</x:v>
      </x:c>
      <x:c r="P98" s="19" t="str">
        <x:v>r01-r04-audit-20260826:zuojiang-r02-self_third_party_exaggeration_density_gap</x:v>
      </x:c>
      <x:c r="Q98" s="19" t="str">
        <x:v>已验证</x:v>
      </x:c>
    </x:row>
    <x:row r="99" ht="15" hidden="0" customHeight="1">
      <x:c r="A99" s="19" t="str">
        <x:v>R01–R04审计</x:v>
      </x:c>
      <x:c r="B99" s="19" t="str">
        <x:v>芯驰科技</x:v>
      </x:c>
      <x:c r="C99" s="19" t="str">
        <x:v>R02</x:v>
      </x:c>
      <x:c r="D99" s="19" t="str">
        <x:v>self_third_party_exaggeration_density_gap</x:v>
      </x:c>
      <x:c r="E99" s="19" t="str">
        <x:v>缺失</x:v>
      </x:c>
      <x:c r="F99" s="28"/>
      <x:c r="G99" s="28"/>
      <x:c r="H99" s="19" t="str">
        <x:v>比例</x:v>
      </x:c>
      <x:c r="I99" s="19" t="str">
        <x:v>缺失</x:v>
      </x:c>
      <x:c r="J99" s="19" t="str">
        <x:v>missing</x:v>
      </x:c>
      <x:c r="K99" s="20" t="n">
        <x:v>0</x:v>
      </x:c>
      <x:c r="L99" s="19" t="str">
        <x:v>NA</x:v>
      </x:c>
      <x:c r="M99" s="19" t="str">
        <x:v>|公司自述夸张性词数/公司自述有效词数-第三方夸张性词数/第三方有效词数|</x:v>
      </x:c>
      <x:c r="N99" s="19" t="str">
        <x:v>2026-08-26</x:v>
      </x:c>
      <x:c r="O99" s="33" t="b">
        <x:v>0</x:v>
      </x:c>
      <x:c r="P99" s="19" t="str">
        <x:v>r01-r04-audit-20260826:semidrive-r02-self_third_party_exaggeration_density_gap</x:v>
      </x:c>
      <x:c r="Q99" s="19" t="str">
        <x:v>不可评分</x:v>
      </x:c>
    </x:row>
    <x:row r="100" ht="15" hidden="0" customHeight="1">
      <x:c r="A100" s="19" t="str">
        <x:v>R01–R04审计</x:v>
      </x:c>
      <x:c r="B100" s="19" t="str">
        <x:v>百利天恒</x:v>
      </x:c>
      <x:c r="C100" s="19" t="str">
        <x:v>R02</x:v>
      </x:c>
      <x:c r="D100" s="19" t="str">
        <x:v>self_third_party_exaggeration_density_gap</x:v>
      </x:c>
      <x:c r="E100" s="19" t="str">
        <x:v>部分覆盖-代理值</x:v>
      </x:c>
      <x:c r="F100" s="28" t="n">
        <x:v>0.003997037705431739</x:v>
      </x:c>
      <x:c r="G100" s="28" t="n">
        <x:v>0.003997037705431739</x:v>
      </x:c>
      <x:c r="H100" s="19" t="str">
        <x:v>比例</x:v>
      </x:c>
      <x:c r="I100" s="19" t="str">
        <x:v>部分覆盖-代理值</x:v>
      </x:c>
      <x:c r="J100" s="19" t="str">
        <x:v>formula-validated-evidence-conditional</x:v>
      </x:c>
      <x:c r="K100" s="20" t="n">
        <x:v>0.62</x:v>
      </x:c>
      <x:c r="L100" s="19" t="str">
        <x:v>中</x:v>
      </x:c>
      <x:c r="M100" s="19" t="str">
        <x:v>|公司自述夸张性词数/公司自述有效词数-第三方夸张性词数/第三方有效词数|</x:v>
      </x:c>
      <x:c r="N100" s="19" t="str">
        <x:v>2026-08-26</x:v>
      </x:c>
      <x:c r="O100" s="33" t="b">
        <x:v>0</x:v>
      </x:c>
      <x:c r="P100" s="19" t="str">
        <x:v>r01-r04-audit-20260826:bailitannheng-r02-self_third_party_exaggeration_density_gap</x:v>
      </x:c>
      <x:c r="Q100" s="19" t="str">
        <x:v>已验证</x:v>
      </x:c>
    </x:row>
    <x:row r="101" ht="15" hidden="0" customHeight="1">
      <x:c r="A101" s="19" t="str">
        <x:v>R01–R04审计</x:v>
      </x:c>
      <x:c r="B101" s="19" t="str">
        <x:v>寒武纪</x:v>
      </x:c>
      <x:c r="C101" s="19" t="str">
        <x:v>R03</x:v>
      </x:c>
      <x:c r="D101" s="19" t="str">
        <x:v>formal_narrative_mean_adjacent_cosine</x:v>
      </x:c>
      <x:c r="E101" s="19" t="str">
        <x:v>可计算</x:v>
      </x:c>
      <x:c r="F101" s="28" t="n">
        <x:v>0.3016911250714863</x:v>
      </x:c>
      <x:c r="G101" s="28" t="n">
        <x:v>0.3016911250714863</x:v>
      </x:c>
      <x:c r="H101" s="19" t="str">
        <x:v>余弦相似度</x:v>
      </x:c>
      <x:c r="I101" s="19" t="str">
        <x:v>可计算</x:v>
      </x:c>
      <x:c r="J101" s="19" t="str">
        <x:v>formula-validated-evidence-conditional</x:v>
      </x:c>
      <x:c r="K101" s="20" t="n">
        <x:v>0.86</x:v>
      </x:c>
      <x:c r="L101" s="19" t="str">
        <x:v>中高</x:v>
      </x:c>
      <x:c r="M101" s="19" t="str">
        <x:v>Jieba分词后词频向量余弦相似度；R03风险代理=1-相邻期平均相似度</x:v>
      </x:c>
      <x:c r="N101" s="19" t="str">
        <x:v>2026-08-26</x:v>
      </x:c>
      <x:c r="O101" s="33" t="b">
        <x:v>1</x:v>
      </x:c>
      <x:c r="P101" s="19" t="str">
        <x:v>r01-r04-audit-20260826:cambricon-r03-formal_narrative_mean_adjacent_cosine</x:v>
      </x:c>
      <x:c r="Q101" s="19" t="str">
        <x:v>已验证</x:v>
      </x:c>
    </x:row>
    <x:row r="102" ht="15" hidden="0" customHeight="1">
      <x:c r="A102" s="19" t="str">
        <x:v>R01–R04审计</x:v>
      </x:c>
      <x:c r="B102" s="19" t="str">
        <x:v>寒武纪</x:v>
      </x:c>
      <x:c r="C102" s="19" t="str">
        <x:v>R03</x:v>
      </x:c>
      <x:c r="D102" s="19" t="str">
        <x:v>management_tone_stability_std</x:v>
      </x:c>
      <x:c r="E102" s="19" t="str">
        <x:v>可计算-辅助</x:v>
      </x:c>
      <x:c r="F102" s="28" t="n">
        <x:v>0.07491946550482884</x:v>
      </x:c>
      <x:c r="G102" s="28" t="n">
        <x:v>0.07491946550482884</x:v>
      </x:c>
      <x:c r="H102" s="19" t="str">
        <x:v>标准差</x:v>
      </x:c>
      <x:c r="I102" s="19" t="str">
        <x:v>可计算-辅助</x:v>
      </x:c>
      <x:c r="J102" s="19" t="str">
        <x:v>formula-validated-evidence-conditional</x:v>
      </x:c>
      <x:c r="K102" s="20" t="n">
        <x:v>0.82</x:v>
      </x:c>
      <x:c r="L102" s="19" t="str">
        <x:v>中高</x:v>
      </x:c>
      <x:c r="M102" s="19" t="str">
        <x:v>固定窗口内各场业绩说明会TONE总体标准差；TONE=(POSPCT-NEGPCT)/(POSPCT+NEGPCT)</x:v>
      </x:c>
      <x:c r="N102" s="19" t="str">
        <x:v>2026-08-26</x:v>
      </x:c>
      <x:c r="O102" s="33" t="b">
        <x:v>0</x:v>
      </x:c>
      <x:c r="P102" s="19" t="str">
        <x:v>r01-r04-audit-20260826:cambricon-r03-management_tone_stability_std</x:v>
      </x:c>
      <x:c r="Q102" s="19" t="str">
        <x:v>已验证</x:v>
      </x:c>
    </x:row>
    <x:row r="103" ht="15" hidden="0" customHeight="1">
      <x:c r="A103" s="19" t="str">
        <x:v>R01–R04审计</x:v>
      </x:c>
      <x:c r="B103" s="19" t="str">
        <x:v>左江科技</x:v>
      </x:c>
      <x:c r="C103" s="19" t="str">
        <x:v>R03</x:v>
      </x:c>
      <x:c r="D103" s="19" t="str">
        <x:v>formal_narrative_mean_adjacent_cosine</x:v>
      </x:c>
      <x:c r="E103" s="19" t="str">
        <x:v>可计算</x:v>
      </x:c>
      <x:c r="F103" s="28" t="n">
        <x:v>0.7392247702225371</x:v>
      </x:c>
      <x:c r="G103" s="28" t="n">
        <x:v>0.7392247702225371</x:v>
      </x:c>
      <x:c r="H103" s="19" t="str">
        <x:v>余弦相似度</x:v>
      </x:c>
      <x:c r="I103" s="19" t="str">
        <x:v>可计算</x:v>
      </x:c>
      <x:c r="J103" s="19" t="str">
        <x:v>formula-validated-evidence-conditional</x:v>
      </x:c>
      <x:c r="K103" s="20" t="n">
        <x:v>0.86</x:v>
      </x:c>
      <x:c r="L103" s="19" t="str">
        <x:v>中高</x:v>
      </x:c>
      <x:c r="M103" s="19" t="str">
        <x:v>Jieba分词后词频向量余弦相似度；R03风险代理=1-相邻期平均相似度</x:v>
      </x:c>
      <x:c r="N103" s="19" t="str">
        <x:v>2023-11-30</x:v>
      </x:c>
      <x:c r="O103" s="33" t="b">
        <x:v>1</x:v>
      </x:c>
      <x:c r="P103" s="19" t="str">
        <x:v>r01-r04-audit-20260826:zuojiang-r03-formal_narrative_mean_adjacent_cosine</x:v>
      </x:c>
      <x:c r="Q103" s="19" t="str">
        <x:v>已验证</x:v>
      </x:c>
    </x:row>
    <x:row r="104" ht="15" hidden="0" customHeight="1">
      <x:c r="A104" s="19" t="str">
        <x:v>R01–R04审计</x:v>
      </x:c>
      <x:c r="B104" s="19" t="str">
        <x:v>左江科技</x:v>
      </x:c>
      <x:c r="C104" s="19" t="str">
        <x:v>R03</x:v>
      </x:c>
      <x:c r="D104" s="19" t="str">
        <x:v>management_tone_stability_std</x:v>
      </x:c>
      <x:c r="E104" s="19" t="str">
        <x:v>缺失</x:v>
      </x:c>
      <x:c r="F104" s="28"/>
      <x:c r="G104" s="28"/>
      <x:c r="H104" s="19" t="str">
        <x:v>标准差</x:v>
      </x:c>
      <x:c r="I104" s="19" t="str">
        <x:v>缺失</x:v>
      </x:c>
      <x:c r="J104" s="19" t="str">
        <x:v>missing</x:v>
      </x:c>
      <x:c r="K104" s="20" t="n">
        <x:v>0</x:v>
      </x:c>
      <x:c r="L104" s="19" t="str">
        <x:v>NA</x:v>
      </x:c>
      <x:c r="M104" s="19" t="str">
        <x:v>固定窗口内各场业绩说明会TONE总体标准差；TONE=(POSPCT-NEGPCT)/(POSPCT+NEGPCT)</x:v>
      </x:c>
      <x:c r="N104" s="19" t="str">
        <x:v>2023-11-30</x:v>
      </x:c>
      <x:c r="O104" s="33" t="b">
        <x:v>0</x:v>
      </x:c>
      <x:c r="P104" s="19" t="str">
        <x:v>r01-r04-audit-20260826:zuojiang-r03-management_tone_stability_std</x:v>
      </x:c>
      <x:c r="Q104" s="19" t="str">
        <x:v>不可评分</x:v>
      </x:c>
    </x:row>
    <x:row r="105" ht="15" hidden="0" customHeight="1">
      <x:c r="A105" s="19" t="str">
        <x:v>R01–R04审计</x:v>
      </x:c>
      <x:c r="B105" s="19" t="str">
        <x:v>芯驰科技</x:v>
      </x:c>
      <x:c r="C105" s="19" t="str">
        <x:v>R03</x:v>
      </x:c>
      <x:c r="D105" s="19" t="str">
        <x:v>formal_narrative_mean_adjacent_cosine</x:v>
      </x:c>
      <x:c r="E105" s="19" t="str">
        <x:v>代理值</x:v>
      </x:c>
      <x:c r="F105" s="28" t="n">
        <x:v>0.5456574978569845</x:v>
      </x:c>
      <x:c r="G105" s="28" t="n">
        <x:v>0.5456574978569845</x:v>
      </x:c>
      <x:c r="H105" s="19" t="str">
        <x:v>余弦相似度</x:v>
      </x:c>
      <x:c r="I105" s="19" t="str">
        <x:v>代理值</x:v>
      </x:c>
      <x:c r="J105" s="19" t="str">
        <x:v>formula-validated-evidence-conditional</x:v>
      </x:c>
      <x:c r="K105" s="20" t="n">
        <x:v>0.62</x:v>
      </x:c>
      <x:c r="L105" s="19" t="str">
        <x:v>中</x:v>
      </x:c>
      <x:c r="M105" s="19" t="str">
        <x:v>Jieba分词后词频向量余弦相似度；R03风险代理=1-相邻期平均相似度</x:v>
      </x:c>
      <x:c r="N105" s="19" t="str">
        <x:v>2026-08-26</x:v>
      </x:c>
      <x:c r="O105" s="33" t="b">
        <x:v>0</x:v>
      </x:c>
      <x:c r="P105" s="19" t="str">
        <x:v>r01-r04-audit-20260826:semidrive-r03-formal_narrative_mean_adjacent_cosine</x:v>
      </x:c>
      <x:c r="Q105" s="19" t="str">
        <x:v>已验证</x:v>
      </x:c>
    </x:row>
    <x:row r="106" ht="15" hidden="0" customHeight="1">
      <x:c r="A106" s="19" t="str">
        <x:v>R01–R04审计</x:v>
      </x:c>
      <x:c r="B106" s="19" t="str">
        <x:v>芯驰科技</x:v>
      </x:c>
      <x:c r="C106" s="19" t="str">
        <x:v>R03</x:v>
      </x:c>
      <x:c r="D106" s="19" t="str">
        <x:v>management_tone_stability_std</x:v>
      </x:c>
      <x:c r="E106" s="19" t="str">
        <x:v>缺失</x:v>
      </x:c>
      <x:c r="F106" s="28"/>
      <x:c r="G106" s="28"/>
      <x:c r="H106" s="19" t="str">
        <x:v>标准差</x:v>
      </x:c>
      <x:c r="I106" s="19" t="str">
        <x:v>缺失</x:v>
      </x:c>
      <x:c r="J106" s="19" t="str">
        <x:v>missing</x:v>
      </x:c>
      <x:c r="K106" s="20" t="n">
        <x:v>0</x:v>
      </x:c>
      <x:c r="L106" s="19" t="str">
        <x:v>NA</x:v>
      </x:c>
      <x:c r="M106" s="19" t="str">
        <x:v>固定窗口内各场业绩说明会TONE总体标准差；TONE=(POSPCT-NEGPCT)/(POSPCT+NEGPCT)</x:v>
      </x:c>
      <x:c r="N106" s="19" t="str">
        <x:v>2026-08-26</x:v>
      </x:c>
      <x:c r="O106" s="33" t="b">
        <x:v>0</x:v>
      </x:c>
      <x:c r="P106" s="19" t="str">
        <x:v>r01-r04-audit-20260826:semidrive-r03-management_tone_stability_std</x:v>
      </x:c>
      <x:c r="Q106" s="19" t="str">
        <x:v>不可评分</x:v>
      </x:c>
    </x:row>
    <x:row r="107" ht="15" hidden="0" customHeight="1">
      <x:c r="A107" s="19" t="str">
        <x:v>R01–R04审计</x:v>
      </x:c>
      <x:c r="B107" s="19" t="str">
        <x:v>百利天恒</x:v>
      </x:c>
      <x:c r="C107" s="19" t="str">
        <x:v>R03</x:v>
      </x:c>
      <x:c r="D107" s="19" t="str">
        <x:v>formal_narrative_mean_adjacent_cosine</x:v>
      </x:c>
      <x:c r="E107" s="19" t="str">
        <x:v>可计算</x:v>
      </x:c>
      <x:c r="F107" s="28" t="n">
        <x:v>0.2289305360577065</x:v>
      </x:c>
      <x:c r="G107" s="28" t="n">
        <x:v>0.2289305360577065</x:v>
      </x:c>
      <x:c r="H107" s="19" t="str">
        <x:v>余弦相似度</x:v>
      </x:c>
      <x:c r="I107" s="19" t="str">
        <x:v>可计算</x:v>
      </x:c>
      <x:c r="J107" s="19" t="str">
        <x:v>formula-validated-evidence-conditional</x:v>
      </x:c>
      <x:c r="K107" s="20" t="n">
        <x:v>0.86</x:v>
      </x:c>
      <x:c r="L107" s="19" t="str">
        <x:v>中高</x:v>
      </x:c>
      <x:c r="M107" s="19" t="str">
        <x:v>Jieba分词后词频向量余弦相似度；R03风险代理=1-相邻期平均相似度</x:v>
      </x:c>
      <x:c r="N107" s="19" t="str">
        <x:v>2026-08-26</x:v>
      </x:c>
      <x:c r="O107" s="33" t="b">
        <x:v>1</x:v>
      </x:c>
      <x:c r="P107" s="19" t="str">
        <x:v>r01-r04-audit-20260826:bailitannheng-r03-formal_narrative_mean_adjacent_cosine</x:v>
      </x:c>
      <x:c r="Q107" s="19" t="str">
        <x:v>已验证</x:v>
      </x:c>
    </x:row>
    <x:row r="108" ht="15" hidden="0" customHeight="1">
      <x:c r="A108" s="19" t="str">
        <x:v>R01–R04审计</x:v>
      </x:c>
      <x:c r="B108" s="19" t="str">
        <x:v>百利天恒</x:v>
      </x:c>
      <x:c r="C108" s="19" t="str">
        <x:v>R03</x:v>
      </x:c>
      <x:c r="D108" s="19" t="str">
        <x:v>management_tone_stability_std</x:v>
      </x:c>
      <x:c r="E108" s="19" t="str">
        <x:v>缺失</x:v>
      </x:c>
      <x:c r="F108" s="28"/>
      <x:c r="G108" s="28"/>
      <x:c r="H108" s="19" t="str">
        <x:v>标准差</x:v>
      </x:c>
      <x:c r="I108" s="19" t="str">
        <x:v>缺失</x:v>
      </x:c>
      <x:c r="J108" s="19" t="str">
        <x:v>missing</x:v>
      </x:c>
      <x:c r="K108" s="20" t="n">
        <x:v>0</x:v>
      </x:c>
      <x:c r="L108" s="19" t="str">
        <x:v>NA</x:v>
      </x:c>
      <x:c r="M108" s="19" t="str">
        <x:v>固定窗口内各场业绩说明会TONE总体标准差；TONE=(POSPCT-NEGPCT)/(POSPCT+NEGPCT)</x:v>
      </x:c>
      <x:c r="N108" s="19" t="str">
        <x:v>2026-08-26</x:v>
      </x:c>
      <x:c r="O108" s="33" t="b">
        <x:v>0</x:v>
      </x:c>
      <x:c r="P108" s="19" t="str">
        <x:v>r01-r04-audit-20260826:bailitannheng-r03-management_tone_stability_std</x:v>
      </x:c>
      <x:c r="Q108" s="19" t="str">
        <x:v>不可评分</x:v>
      </x:c>
    </x:row>
    <x:row r="109" ht="15" hidden="0" customHeight="1">
      <x:c r="A109" s="19" t="str">
        <x:v>R01–R04审计</x:v>
      </x:c>
      <x:c r="B109" s="19" t="str">
        <x:v>寒武纪</x:v>
      </x:c>
      <x:c r="C109" s="19" t="str">
        <x:v>R04</x:v>
      </x:c>
      <x:c r="D109" s="19" t="str">
        <x:v>concept_related_revenue_share_pct</x:v>
      </x:c>
      <x:c r="E109" s="19" t="str">
        <x:v>可计算</x:v>
      </x:c>
      <x:c r="F109" s="28" t="n">
        <x:v>99.77439164553815</x:v>
      </x:c>
      <x:c r="G109" s="28" t="n">
        <x:v>99.77439164553815</x:v>
      </x:c>
      <x:c r="H109" s="19" t="str">
        <x:v>%</x:v>
      </x:c>
      <x:c r="I109" s="19" t="str">
        <x:v>可计算</x:v>
      </x:c>
      <x:c r="J109" s="19" t="str">
        <x:v>formula-validated-evidence-conditional</x:v>
      </x:c>
      <x:c r="K109" s="20" t="n">
        <x:v>0.95</x:v>
      </x:c>
      <x:c r="L109" s="19" t="str">
        <x:v>高</x:v>
      </x:c>
      <x:c r="M109" s="19" t="str">
        <x:v>(云端产品线+边缘产品线+IP授权及软件收入)/总营收×100%</x:v>
      </x:c>
      <x:c r="N109" s="19" t="str">
        <x:v>2026-08-26</x:v>
      </x:c>
      <x:c r="O109" s="33" t="b">
        <x:v>1</x:v>
      </x:c>
      <x:c r="P109" s="19" t="str">
        <x:v>r01-r04-audit-20260826:cambricon-r04-concept_related_revenue_share_pct</x:v>
      </x:c>
      <x:c r="Q109" s="19" t="str">
        <x:v>已验证</x:v>
      </x:c>
    </x:row>
    <x:row r="110" ht="15" hidden="0" customHeight="1">
      <x:c r="A110" s="19" t="str">
        <x:v>R01–R04审计</x:v>
      </x:c>
      <x:c r="B110" s="19" t="str">
        <x:v>左江科技</x:v>
      </x:c>
      <x:c r="C110" s="19" t="str">
        <x:v>R04</x:v>
      </x:c>
      <x:c r="D110" s="19" t="str">
        <x:v>concept_related_revenue_share_pct</x:v>
      </x:c>
      <x:c r="E110" s="19" t="str">
        <x:v>代理值-严格事前</x:v>
      </x:c>
      <x:c r="F110" s="28" t="n">
        <x:v>37.3938752331557</x:v>
      </x:c>
      <x:c r="G110" s="28" t="n">
        <x:v>37.3938752331557</x:v>
      </x:c>
      <x:c r="H110" s="19" t="str">
        <x:v>%</x:v>
      </x:c>
      <x:c r="I110" s="19" t="str">
        <x:v>代理值-严格事前</x:v>
      </x:c>
      <x:c r="J110" s="19" t="str">
        <x:v>formula-validated-evidence-conditional</x:v>
      </x:c>
      <x:c r="K110" s="20" t="n">
        <x:v>0.8</x:v>
      </x:c>
      <x:c r="L110" s="19" t="str">
        <x:v>中高</x:v>
      </x:c>
      <x:c r="M110" s="19" t="str">
        <x:v>被问询单笔DPU交易收入/2023年前三季度营收×100%</x:v>
      </x:c>
      <x:c r="N110" s="19" t="str">
        <x:v>2023-11-30</x:v>
      </x:c>
      <x:c r="O110" s="33" t="b">
        <x:v>0</x:v>
      </x:c>
      <x:c r="P110" s="19" t="str">
        <x:v>r01-r04-audit-20260826:zuojiang-r04-concept_related_revenue_share_pct</x:v>
      </x:c>
      <x:c r="Q110" s="19" t="str">
        <x:v>已验证</x:v>
      </x:c>
    </x:row>
    <x:row r="111" ht="15" hidden="0" customHeight="1">
      <x:c r="A111" s="19" t="str">
        <x:v>R01–R04审计</x:v>
      </x:c>
      <x:c r="B111" s="19" t="str">
        <x:v>芯驰科技</x:v>
      </x:c>
      <x:c r="C111" s="19" t="str">
        <x:v>R04</x:v>
      </x:c>
      <x:c r="D111" s="19" t="str">
        <x:v>concept_related_revenue_share_pct</x:v>
      </x:c>
      <x:c r="E111" s="19" t="str">
        <x:v>缺失</x:v>
      </x:c>
      <x:c r="F111" s="28"/>
      <x:c r="G111" s="28"/>
      <x:c r="H111" s="19" t="str">
        <x:v>%</x:v>
      </x:c>
      <x:c r="I111" s="19" t="str">
        <x:v>缺失</x:v>
      </x:c>
      <x:c r="J111" s="19" t="str">
        <x:v>missing</x:v>
      </x:c>
      <x:c r="K111" s="20" t="n">
        <x:v>0</x:v>
      </x:c>
      <x:c r="L111" s="19" t="str">
        <x:v>NA</x:v>
      </x:c>
      <x:c r="M111" s="19" t="str">
        <x:v>车规芯片相关收入/总营收×100%</x:v>
      </x:c>
      <x:c r="N111" s="19" t="str">
        <x:v>2026-08-26</x:v>
      </x:c>
      <x:c r="O111" s="33" t="b">
        <x:v>0</x:v>
      </x:c>
      <x:c r="P111" s="19" t="str">
        <x:v>r01-r04-audit-20260826:semidrive-r04-concept_related_revenue_share_pct</x:v>
      </x:c>
      <x:c r="Q111" s="19" t="str">
        <x:v>不可评分</x:v>
      </x:c>
    </x:row>
    <x:row r="112" ht="15" hidden="0" customHeight="1">
      <x:c r="A112" s="19" t="str">
        <x:v>R01–R04审计</x:v>
      </x:c>
      <x:c r="B112" s="19" t="str">
        <x:v>百利天恒</x:v>
      </x:c>
      <x:c r="C112" s="19" t="str">
        <x:v>R04</x:v>
      </x:c>
      <x:c r="D112" s="19" t="str">
        <x:v>concept_related_revenue_share_pct</x:v>
      </x:c>
      <x:c r="E112" s="19" t="str">
        <x:v>可计算</x:v>
      </x:c>
      <x:c r="F112" s="28" t="n">
        <x:v>84.35014234052144</x:v>
      </x:c>
      <x:c r="G112" s="28" t="n">
        <x:v>84.35014234052144</x:v>
      </x:c>
      <x:c r="H112" s="19" t="str">
        <x:v>%</x:v>
      </x:c>
      <x:c r="I112" s="19" t="str">
        <x:v>可计算</x:v>
      </x:c>
      <x:c r="J112" s="19" t="str">
        <x:v>formula-validated-evidence-conditional</x:v>
      </x:c>
      <x:c r="K112" s="20" t="n">
        <x:v>0.95</x:v>
      </x:c>
      <x:c r="L112" s="19" t="str">
        <x:v>高</x:v>
      </x:c>
      <x:c r="M112" s="19" t="str">
        <x:v>知识产权收入/总营收×100%</x:v>
      </x:c>
      <x:c r="N112" s="19" t="str">
        <x:v>2026-08-26</x:v>
      </x:c>
      <x:c r="O112" s="33" t="b">
        <x:v>1</x:v>
      </x:c>
      <x:c r="P112" s="19" t="str">
        <x:v>r01-r04-audit-20260826:bailitannheng-r04-concept_related_revenue_share_pct</x:v>
      </x:c>
      <x:c r="Q112" s="19" t="str">
        <x:v>已验证</x:v>
      </x:c>
    </x:row>
    <x:row r="113" ht="15" hidden="0" customHeight="1">
      <x:c r="A113" s="19" t="str">
        <x:v>R01–R04审计</x:v>
      </x:c>
      <x:c r="B113" s="19" t="str">
        <x:v>寒武纪</x:v>
      </x:c>
      <x:c r="C113" s="19" t="str">
        <x:v>PDQI</x:v>
      </x:c>
      <x:c r="D113" s="19" t="str">
        <x:v>pdqi</x:v>
      </x:c>
      <x:c r="E113" s="19" t="str">
        <x:v>formal-industry-year-normalized</x:v>
      </x:c>
      <x:c r="F113" s="28"/>
      <x:c r="G113" s="28"/>
      <x:c r="H113" s="19" t="str">
        <x:v>0-1</x:v>
      </x:c>
      <x:c r="I113" s="19" t="str">
        <x:v>unavailable</x:v>
      </x:c>
      <x:c r="J113" s="19" t="str">
        <x:v>missing-industry-year-baseline</x:v>
      </x:c>
      <x:c r="K113" s="20"/>
      <x:c r="L113" s="19" t="str">
        <x:v>NA</x:v>
      </x:c>
      <x:c r="M113" s="19" t="str">
        <x:v>1/4×[IS_norm+RDD+(1-RCA)+DSR]</x:v>
      </x:c>
      <x:c r="N113" s="19" t="str">
        <x:v>2026-08-26</x:v>
      </x:c>
      <x:c r="O113" s="33" t="b">
        <x:v>0</x:v>
      </x:c>
      <x:c r="P113" s="19" t="str">
        <x:v>r01-r04-audit-20260826:cambricon:pdqi-formal</x:v>
      </x:c>
      <x:c r="Q113" s="19" t="str">
        <x:v>不可评分</x:v>
      </x:c>
    </x:row>
    <x:row r="114" ht="15" hidden="0" customHeight="1">
      <x:c r="A114" s="19" t="str">
        <x:v>R01–R04审计</x:v>
      </x:c>
      <x:c r="B114" s="19" t="str">
        <x:v>左江科技</x:v>
      </x:c>
      <x:c r="C114" s="19" t="str">
        <x:v>PDQI</x:v>
      </x:c>
      <x:c r="D114" s="19" t="str">
        <x:v>pdqi</x:v>
      </x:c>
      <x:c r="E114" s="19" t="str">
        <x:v>formal-industry-year-normalized</x:v>
      </x:c>
      <x:c r="F114" s="28"/>
      <x:c r="G114" s="28"/>
      <x:c r="H114" s="19" t="str">
        <x:v>0-1</x:v>
      </x:c>
      <x:c r="I114" s="19" t="str">
        <x:v>unavailable</x:v>
      </x:c>
      <x:c r="J114" s="19" t="str">
        <x:v>missing-industry-year-baseline</x:v>
      </x:c>
      <x:c r="K114" s="20"/>
      <x:c r="L114" s="19" t="str">
        <x:v>NA</x:v>
      </x:c>
      <x:c r="M114" s="19" t="str">
        <x:v>1/4×[IS_norm+RDD+(1-RCA)+DSR]</x:v>
      </x:c>
      <x:c r="N114" s="19" t="str">
        <x:v>2026-08-26</x:v>
      </x:c>
      <x:c r="O114" s="33" t="b">
        <x:v>0</x:v>
      </x:c>
      <x:c r="P114" s="19" t="str">
        <x:v>r01-r04-audit-20260826:zuojiang-technology:pdqi-formal</x:v>
      </x:c>
      <x:c r="Q114" s="19" t="str">
        <x:v>不可评分</x:v>
      </x:c>
    </x:row>
    <x:row r="115" ht="15" hidden="0" customHeight="1">
      <x:c r="A115" s="19" t="str">
        <x:v>R01–R04审计</x:v>
      </x:c>
      <x:c r="B115" s="19" t="str">
        <x:v>百利天恒</x:v>
      </x:c>
      <x:c r="C115" s="19" t="str">
        <x:v>PDQI</x:v>
      </x:c>
      <x:c r="D115" s="19" t="str">
        <x:v>pdqi</x:v>
      </x:c>
      <x:c r="E115" s="19" t="str">
        <x:v>formal-industry-year-normalized</x:v>
      </x:c>
      <x:c r="F115" s="28"/>
      <x:c r="G115" s="28"/>
      <x:c r="H115" s="19" t="str">
        <x:v>0-1</x:v>
      </x:c>
      <x:c r="I115" s="19" t="str">
        <x:v>unavailable</x:v>
      </x:c>
      <x:c r="J115" s="19" t="str">
        <x:v>missing-industry-year-baseline</x:v>
      </x:c>
      <x:c r="K115" s="20"/>
      <x:c r="L115" s="19" t="str">
        <x:v>NA</x:v>
      </x:c>
      <x:c r="M115" s="19" t="str">
        <x:v>1/4×[IS_norm+RDD+(1-RCA)+DSR]</x:v>
      </x:c>
      <x:c r="N115" s="19" t="str">
        <x:v>2026-08-26</x:v>
      </x:c>
      <x:c r="O115" s="33" t="b">
        <x:v>0</x:v>
      </x:c>
      <x:c r="P115" s="19" t="str">
        <x:v>r01-r04-audit-20260826:baili-tianheng:pdqi-formal</x:v>
      </x:c>
      <x:c r="Q115" s="19" t="str">
        <x:v>不可评分</x:v>
      </x:c>
    </x:row>
  </x:sheetData>
  <x:mergeCells>
    <x:mergeCell ref="A1:Q2"/>
    <x:mergeCell ref="A3:Q3"/>
  </x:mergeCells>
  <x:conditionalFormatting sqref="J5:J115">
    <x:cfRule type="containsText" dxfId="7" priority="1" operator="containsText" text="invalid"/>
    <x:cfRule type="containsText" dxfId="8" priority="2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38164b71e3a947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9" hidden="0" customWidth="1"/>
    <x:col min="4" max="4" width="38" hidden="0" customWidth="1"/>
    <x:col min="5" max="5" width="13" hidden="0" customWidth="1"/>
    <x:col min="6" max="6" width="14" hidden="0" customWidth="1"/>
    <x:col min="7" max="7" width="11" hidden="0" customWidth="1"/>
    <x:col min="8" max="8" width="12" hidden="0" customWidth="1"/>
    <x:col min="9" max="9" width="10" hidden="0" customWidth="1"/>
    <x:col min="10" max="10" width="12" hidden="0" customWidth="1"/>
    <x:col min="11" max="11" width="76" hidden="0" customWidth="1"/>
  </x:cols>
  <x:sheetData>
    <x:row r="1" ht="34" customHeight="1">
      <x:c r="A1" s="3" t="str">
        <x:v>R01–R04覆盖矩阵</x:v>
      </x:c>
      <x:c r="B1" s="3" t="str">
        <x:v>R01–R04覆盖矩阵</x:v>
      </x:c>
      <x:c r="C1" s="3" t="str">
        <x:v>R01–R04覆盖矩阵</x:v>
      </x:c>
      <x:c r="D1" s="3" t="str">
        <x:v>R01–R04覆盖矩阵</x:v>
      </x:c>
      <x:c r="E1" s="3" t="str">
        <x:v>R01–R04覆盖矩阵</x:v>
      </x:c>
      <x:c r="F1" s="3" t="str">
        <x:v>R01–R04覆盖矩阵</x:v>
      </x:c>
      <x:c r="G1" s="3" t="str">
        <x:v>R01–R04覆盖矩阵</x:v>
      </x:c>
      <x:c r="H1" s="3" t="str">
        <x:v>R01–R04覆盖矩阵</x:v>
      </x:c>
      <x:c r="I1" s="3" t="str">
        <x:v>R01–R04覆盖矩阵</x:v>
      </x:c>
      <x:c r="J1" s="3" t="str">
        <x:v>R01–R04覆盖矩阵</x:v>
      </x:c>
      <x:c r="K1" s="3" t="str">
        <x:v>R01–R04覆盖矩阵</x:v>
      </x:c>
    </x:row>
    <x:row r="2" ht="34" customHeight="1">
      <x:c r="A2" s="3" t="str">
        <x:v>R01–R04覆盖矩阵</x:v>
      </x:c>
      <x:c r="B2" s="3" t="str">
        <x:v>R01–R04覆盖矩阵</x:v>
      </x:c>
      <x:c r="C2" s="3" t="str">
        <x:v>R01–R04覆盖矩阵</x:v>
      </x:c>
      <x:c r="D2" s="3" t="str">
        <x:v>R01–R04覆盖矩阵</x:v>
      </x:c>
      <x:c r="E2" s="3" t="str">
        <x:v>R01–R04覆盖矩阵</x:v>
      </x:c>
      <x:c r="F2" s="3" t="str">
        <x:v>R01–R04覆盖矩阵</x:v>
      </x:c>
      <x:c r="G2" s="3" t="str">
        <x:v>R01–R04覆盖矩阵</x:v>
      </x:c>
      <x:c r="H2" s="3" t="str">
        <x:v>R01–R04覆盖矩阵</x:v>
      </x:c>
      <x:c r="I2" s="3" t="str">
        <x:v>R01–R04覆盖矩阵</x:v>
      </x:c>
      <x:c r="J2" s="3" t="str">
        <x:v>R01–R04覆盖矩阵</x:v>
      </x:c>
      <x:c r="K2" s="3" t="str">
        <x:v>R01–R04覆盖矩阵</x:v>
      </x:c>
    </x:row>
    <x:row r="3" ht="30" customHeight="1">
      <x:c r="A3" s="6" t="str">
        <x:v>原定义正式可用、文档替代口径可用与代理值分别记录。覆盖不足不等于风险低。 </x:v>
      </x:c>
      <x:c r="B3" s="6" t="str">
        <x:v>原定义正式可用、文档替代口径可用与代理值分别记录。覆盖不足不等于风险低。 </x:v>
      </x:c>
      <x:c r="C3" s="6" t="str">
        <x:v>原定义正式可用、文档替代口径可用与代理值分别记录。覆盖不足不等于风险低。 </x:v>
      </x:c>
      <x:c r="D3" s="6" t="str">
        <x:v>原定义正式可用、文档替代口径可用与代理值分别记录。覆盖不足不等于风险低。 </x:v>
      </x:c>
      <x:c r="E3" s="6" t="str">
        <x:v>原定义正式可用、文档替代口径可用与代理值分别记录。覆盖不足不等于风险低。 </x:v>
      </x:c>
      <x:c r="F3" s="6" t="str">
        <x:v>原定义正式可用、文档替代口径可用与代理值分别记录。覆盖不足不等于风险低。 </x:v>
      </x:c>
      <x:c r="G3" s="6" t="str">
        <x:v>原定义正式可用、文档替代口径可用与代理值分别记录。覆盖不足不等于风险低。 </x:v>
      </x:c>
      <x:c r="H3" s="6" t="str">
        <x:v>原定义正式可用、文档替代口径可用与代理值分别记录。覆盖不足不等于风险低。 </x:v>
      </x:c>
      <x:c r="I3" s="6" t="str">
        <x:v>原定义正式可用、文档替代口径可用与代理值分别记录。覆盖不足不等于风险低。 </x:v>
      </x:c>
      <x:c r="J3" s="6" t="str">
        <x:v>原定义正式可用、文档替代口径可用与代理值分别记录。覆盖不足不等于风险低。 </x:v>
      </x:c>
      <x:c r="K3" s="6" t="str">
        <x:v>原定义正式可用、文档替代口径可用与代理值分别记录。覆盖不足不等于风险低。 </x:v>
      </x:c>
    </x:row>
    <x:row r="4" ht="15" hidden="0" customHeight="1">
      <x:c r="A4" s="15" t="str">
        <x:v>评估范围</x:v>
      </x:c>
      <x:c r="B4" s="15" t="str">
        <x:v>企业</x:v>
      </x:c>
      <x:c r="C4" s="15" t="str">
        <x:v>指标</x:v>
      </x:c>
      <x:c r="D4" s="15" t="str">
        <x:v>覆盖状态</x:v>
      </x:c>
      <x:c r="E4" s="15" t="str">
        <x:v>原定义可用</x:v>
      </x:c>
      <x:c r="F4" s="15" t="str">
        <x:v>文档方法可用</x:v>
      </x:c>
      <x:c r="G4" s="15" t="str">
        <x:v>置信度</x:v>
      </x:c>
      <x:c r="H4" s="15" t="str">
        <x:v>置信等级</x:v>
      </x:c>
      <x:c r="I4" s="15" t="str">
        <x:v>观测数</x:v>
      </x:c>
      <x:c r="J4" s="15" t="str">
        <x:v>数值观测数</x:v>
      </x:c>
      <x:c r="K4" s="15" t="str">
        <x:v>限制</x:v>
      </x:c>
    </x:row>
    <x:row r="5" ht="21.600000381469727" hidden="0" customHeight="1">
      <x:c r="A5" s="19" t="str">
        <x:v>R01–R04审计</x:v>
      </x:c>
      <x:c r="B5" s="19" t="str">
        <x:v>寒武纪</x:v>
      </x:c>
      <x:c r="C5" s="19" t="str">
        <x:v>R01</x:v>
      </x:c>
      <x:c r="D5" s="19" t="str">
        <x:v>文档ITAG可计算/原DTQ仅代理或缺失</x:v>
      </x:c>
      <x:c r="E5" s="33" t="b">
        <x:v>0</x:v>
      </x:c>
      <x:c r="F5" s="33" t="b">
        <x:v>1</x:v>
      </x:c>
      <x:c r="G5" s="20" t="n">
        <x:v>0.9</x:v>
      </x:c>
      <x:c r="H5" s="19" t="str">
        <x:v>高</x:v>
      </x:c>
      <x:c r="I5" s="19" t="n">
        <x:v>2</x:v>
      </x:c>
      <x:c r="J5" s="19" t="n">
        <x:v>2</x:v>
      </x:c>
      <x:c r="K5" s="19" t="str">
        <x:v>文档方案二仅看个体；不等同原R01的DTQ-营收增速背离，也未做行业-年度Z-score。；绩效说明会问答替代互动易/E互动；媒体采用标题直相关且全文可得的固定样本；未取得全量互动平台季度提问，不能作为原R01正式分。</x:v>
      </x:c>
    </x:row>
    <x:row r="6" ht="15" hidden="0" customHeight="1">
      <x:c r="A6" s="19" t="str">
        <x:v>R01–R04审计</x:v>
      </x:c>
      <x:c r="B6" s="19" t="str">
        <x:v>寒武纪</x:v>
      </x:c>
      <x:c r="C6" s="19" t="str">
        <x:v>R02</x:v>
      </x:c>
      <x:c r="D6" s="19" t="str">
        <x:v>原定义可计算</x:v>
      </x:c>
      <x:c r="E6" s="33" t="b">
        <x:v>1</x:v>
      </x:c>
      <x:c r="F6" s="19"/>
      <x:c r="G6" s="20" t="n">
        <x:v>0.82</x:v>
      </x:c>
      <x:c r="H6" s="19" t="str">
        <x:v>中高</x:v>
      </x:c>
      <x:c r="I6" s="19" t="n">
        <x:v>1</x:v>
      </x:c>
      <x:c r="J6" s="19" t="n">
        <x:v>1</x:v>
      </x:c>
      <x:c r="K6" s="19" t="str">
        <x:v>词典法不等于逐句事实核验；正式报告、监管文本和媒体体裁不同，数值仅表示措辞密度差。</x:v>
      </x:c>
    </x:row>
    <x:row r="7" ht="21.600000381469727" hidden="0" customHeight="1">
      <x:c r="A7" s="19" t="str">
        <x:v>R01–R04审计</x:v>
      </x:c>
      <x:c r="B7" s="19" t="str">
        <x:v>寒武纪</x:v>
      </x:c>
      <x:c r="C7" s="19" t="str">
        <x:v>R03</x:v>
      </x:c>
      <x:c r="D7" s="19" t="str">
        <x:v>原定义可计算</x:v>
      </x:c>
      <x:c r="E7" s="33" t="b">
        <x:v>1</x:v>
      </x:c>
      <x:c r="F7" s="19"/>
      <x:c r="G7" s="20" t="n">
        <x:v>0.86</x:v>
      </x:c>
      <x:c r="H7" s="19" t="str">
        <x:v>中高</x:v>
      </x:c>
      <x:c r="I7" s="19" t="n">
        <x:v>2</x:v>
      </x:c>
      <x:c r="J7" s="19" t="n">
        <x:v>2</x:v>
      </x:c>
      <x:c r="K7" s="19" t="str">
        <x:v>TONE标准差是为R03稳定性增加的辅助量，不是三份文档给出的独立风险阈值。；四期报告并非严格等间隔季度，季报信息量较少。</x:v>
      </x:c>
    </x:row>
    <x:row r="8" ht="15" hidden="0" customHeight="1">
      <x:c r="A8" s="19" t="str">
        <x:v>R01–R04审计</x:v>
      </x:c>
      <x:c r="B8" s="19" t="str">
        <x:v>寒武纪</x:v>
      </x:c>
      <x:c r="C8" s="19" t="str">
        <x:v>R04</x:v>
      </x:c>
      <x:c r="D8" s="19" t="str">
        <x:v>原定义可计算</x:v>
      </x:c>
      <x:c r="E8" s="33" t="b">
        <x:v>1</x:v>
      </x:c>
      <x:c r="F8" s="19"/>
      <x:c r="G8" s="20" t="n">
        <x:v>0.95</x:v>
      </x:c>
      <x:c r="H8" s="19" t="str">
        <x:v>高</x:v>
      </x:c>
      <x:c r="I8" s="19" t="n">
        <x:v>1</x:v>
      </x:c>
      <x:c r="J8" s="19" t="n">
        <x:v>1</x:v>
      </x:c>
      <x:c r="K8" s="19" t="str">
        <x:v>概念标签固定为AI芯片/智能芯片；未把其他收入计入概念业务。</x:v>
      </x:c>
    </x:row>
    <x:row r="9" ht="15" hidden="0" customHeight="1">
      <x:c r="A9" s="19" t="str">
        <x:v>R01–R04审计</x:v>
      </x:c>
      <x:c r="B9" s="19" t="str">
        <x:v>左江科技</x:v>
      </x:c>
      <x:c r="C9" s="19" t="str">
        <x:v>R01</x:v>
      </x:c>
      <x:c r="D9" s="19" t="str">
        <x:v>缺失</x:v>
      </x:c>
      <x:c r="E9" s="33" t="b">
        <x:v>0</x:v>
      </x:c>
      <x:c r="F9" s="33" t="b">
        <x:v>0</x:v>
      </x:c>
      <x:c r="G9" s="20" t="n">
        <x:v>0</x:v>
      </x:c>
      <x:c r="H9" s="19" t="str">
        <x:v>NA</x:v>
      </x:c>
      <x:c r="I9" s="19" t="n">
        <x:v>2</x:v>
      </x:c>
      <x:c r="J9" s="19" t="n">
        <x:v>0</x:v>
      </x:c>
      <x:c r="K9" s="19" t="str">
        <x:v>不足两个可比季度，或缺营收同比增速；缺失不得填零。；缺当年发明专利申请数，缺失不得填零。</x:v>
      </x:c>
    </x:row>
    <x:row r="10" ht="15" hidden="0" customHeight="1">
      <x:c r="A10" s="19" t="str">
        <x:v>R01–R04审计</x:v>
      </x:c>
      <x:c r="B10" s="19" t="str">
        <x:v>左江科技</x:v>
      </x:c>
      <x:c r="C10" s="19" t="str">
        <x:v>R02</x:v>
      </x:c>
      <x:c r="D10" s="19" t="str">
        <x:v>部分覆盖/代理</x:v>
      </x:c>
      <x:c r="E10" s="33" t="b">
        <x:v>0</x:v>
      </x:c>
      <x:c r="F10" s="19"/>
      <x:c r="G10" s="20" t="n">
        <x:v>0.62</x:v>
      </x:c>
      <x:c r="H10" s="19" t="str">
        <x:v>中</x:v>
      </x:c>
      <x:c r="I10" s="19" t="n">
        <x:v>1</x:v>
      </x:c>
      <x:c r="J10" s="19" t="n">
        <x:v>1</x:v>
      </x:c>
      <x:c r="K10" s="19" t="str">
        <x:v>词典法不等于逐句事实核验；正式报告、监管文本和媒体体裁不同，数值仅表示措辞密度差。</x:v>
      </x:c>
    </x:row>
    <x:row r="11" ht="21.600000381469727" hidden="0" customHeight="1">
      <x:c r="A11" s="19" t="str">
        <x:v>R01–R04审计</x:v>
      </x:c>
      <x:c r="B11" s="19" t="str">
        <x:v>左江科技</x:v>
      </x:c>
      <x:c r="C11" s="19" t="str">
        <x:v>R03</x:v>
      </x:c>
      <x:c r="D11" s="19" t="str">
        <x:v>原定义可计算</x:v>
      </x:c>
      <x:c r="E11" s="33" t="b">
        <x:v>1</x:v>
      </x:c>
      <x:c r="F11" s="19"/>
      <x:c r="G11" s="20" t="n">
        <x:v>0.86</x:v>
      </x:c>
      <x:c r="H11" s="19" t="str">
        <x:v>中高</x:v>
      </x:c>
      <x:c r="I11" s="19" t="n">
        <x:v>2</x:v>
      </x:c>
      <x:c r="J11" s="19" t="n">
        <x:v>1</x:v>
      </x:c>
      <x:c r="K11" s="19" t="str">
        <x:v>TONE标准差是为R03稳定性增加的辅助量，不是三份文档给出的独立风险阈值。；四期报告并非严格等间隔季度，季报信息量较少。</x:v>
      </x:c>
    </x:row>
    <x:row r="12" ht="15" hidden="0" customHeight="1">
      <x:c r="A12" s="19" t="str">
        <x:v>R01–R04审计</x:v>
      </x:c>
      <x:c r="B12" s="19" t="str">
        <x:v>左江科技</x:v>
      </x:c>
      <x:c r="C12" s="19" t="str">
        <x:v>R04</x:v>
      </x:c>
      <x:c r="D12" s="19" t="str">
        <x:v>部分覆盖/代理</x:v>
      </x:c>
      <x:c r="E12" s="33" t="b">
        <x:v>0</x:v>
      </x:c>
      <x:c r="F12" s="19"/>
      <x:c r="G12" s="20" t="n">
        <x:v>0.8</x:v>
      </x:c>
      <x:c r="H12" s="19" t="str">
        <x:v>中高</x:v>
      </x:c>
      <x:c r="I12" s="19" t="n">
        <x:v>1</x:v>
      </x:c>
      <x:c r="J12" s="19" t="n">
        <x:v>1</x:v>
      </x:c>
      <x:c r="K12" s="19" t="str">
        <x:v>只覆盖被问询单笔DPU交易，不等于全部DPU业务收入；非年度审计口径。</x:v>
      </x:c>
    </x:row>
    <x:row r="13" ht="15" hidden="0" customHeight="1">
      <x:c r="A13" s="19" t="str">
        <x:v>R01–R04审计</x:v>
      </x:c>
      <x:c r="B13" s="19" t="str">
        <x:v>芯驰科技</x:v>
      </x:c>
      <x:c r="C13" s="19" t="str">
        <x:v>R01</x:v>
      </x:c>
      <x:c r="D13" s="19" t="str">
        <x:v>缺失</x:v>
      </x:c>
      <x:c r="E13" s="33" t="b">
        <x:v>0</x:v>
      </x:c>
      <x:c r="F13" s="33" t="b">
        <x:v>0</x:v>
      </x:c>
      <x:c r="G13" s="20" t="n">
        <x:v>0</x:v>
      </x:c>
      <x:c r="H13" s="19" t="str">
        <x:v>NA</x:v>
      </x:c>
      <x:c r="I13" s="19" t="n">
        <x:v>2</x:v>
      </x:c>
      <x:c r="J13" s="19" t="n">
        <x:v>0</x:v>
      </x:c>
      <x:c r="K13" s="19" t="str">
        <x:v>不足两个可比季度，或缺营收同比增速；缺失不得填零。；缺年度报告MD&amp;A或当年发明专利申请数，缺失不得填零。</x:v>
      </x:c>
    </x:row>
    <x:row r="14" ht="15" hidden="0" customHeight="1">
      <x:c r="A14" s="19" t="str">
        <x:v>R01–R04审计</x:v>
      </x:c>
      <x:c r="B14" s="19" t="str">
        <x:v>芯驰科技</x:v>
      </x:c>
      <x:c r="C14" s="19" t="str">
        <x:v>R02</x:v>
      </x:c>
      <x:c r="D14" s="19" t="str">
        <x:v>缺失</x:v>
      </x:c>
      <x:c r="E14" s="33" t="b">
        <x:v>0</x:v>
      </x:c>
      <x:c r="F14" s="19"/>
      <x:c r="G14" s="20" t="n">
        <x:v>0</x:v>
      </x:c>
      <x:c r="H14" s="19" t="str">
        <x:v>NA</x:v>
      </x:c>
      <x:c r="I14" s="19" t="n">
        <x:v>1</x:v>
      </x:c>
      <x:c r="J14" s="19" t="n">
        <x:v>0</x:v>
      </x:c>
      <x:c r="K14" s="19" t="str">
        <x:v>词典法不等于逐句事实核验；正式报告、监管文本和媒体体裁不同，数值仅表示措辞密度差。</x:v>
      </x:c>
    </x:row>
    <x:row r="15" ht="21.600000381469727" hidden="0" customHeight="1">
      <x:c r="A15" s="19" t="str">
        <x:v>R01–R04审计</x:v>
      </x:c>
      <x:c r="B15" s="19" t="str">
        <x:v>芯驰科技</x:v>
      </x:c>
      <x:c r="C15" s="19" t="str">
        <x:v>R03</x:v>
      </x:c>
      <x:c r="D15" s="19" t="str">
        <x:v>部分覆盖/代理</x:v>
      </x:c>
      <x:c r="E15" s="33" t="b">
        <x:v>0</x:v>
      </x:c>
      <x:c r="F15" s="19"/>
      <x:c r="G15" s="20" t="n">
        <x:v>0.62</x:v>
      </x:c>
      <x:c r="H15" s="19" t="str">
        <x:v>中</x:v>
      </x:c>
      <x:c r="I15" s="19" t="n">
        <x:v>2</x:v>
      </x:c>
      <x:c r="J15" s="19" t="n">
        <x:v>1</x:v>
      </x:c>
      <x:c r="K15" s="19" t="str">
        <x:v>TONE标准差是为R03稳定性增加的辅助量，不是三份文档给出的独立风险阈值。；芯驰使用官网四期资讯代理，不是正式报告，不能直接作为原R03正式分。</x:v>
      </x:c>
    </x:row>
    <x:row r="16" ht="15" hidden="0" customHeight="1">
      <x:c r="A16" s="19" t="str">
        <x:v>R01–R04审计</x:v>
      </x:c>
      <x:c r="B16" s="19" t="str">
        <x:v>芯驰科技</x:v>
      </x:c>
      <x:c r="C16" s="19" t="str">
        <x:v>R04</x:v>
      </x:c>
      <x:c r="D16" s="19" t="str">
        <x:v>缺失</x:v>
      </x:c>
      <x:c r="E16" s="33" t="b">
        <x:v>0</x:v>
      </x:c>
      <x:c r="F16" s="19"/>
      <x:c r="G16" s="20" t="n">
        <x:v>0</x:v>
      </x:c>
      <x:c r="H16" s="19" t="str">
        <x:v>NA</x:v>
      </x:c>
      <x:c r="I16" s="19" t="n">
        <x:v>1</x:v>
      </x:c>
      <x:c r="J16" s="19" t="n">
        <x:v>0</x:v>
      </x:c>
      <x:c r="K16" s="19" t="str">
        <x:v>非上市公司未公开分产品收入和总营收，缺失不得填零。</x:v>
      </x:c>
    </x:row>
    <x:row r="17" ht="21.600000381469727" hidden="0" customHeight="1">
      <x:c r="A17" s="19" t="str">
        <x:v>R01–R04审计</x:v>
      </x:c>
      <x:c r="B17" s="19" t="str">
        <x:v>百利天恒</x:v>
      </x:c>
      <x:c r="C17" s="19" t="str">
        <x:v>R01</x:v>
      </x:c>
      <x:c r="D17" s="19" t="str">
        <x:v>文档ITAG可计算/原DTQ仅代理或缺失</x:v>
      </x:c>
      <x:c r="E17" s="33" t="b">
        <x:v>0</x:v>
      </x:c>
      <x:c r="F17" s="33" t="b">
        <x:v>1</x:v>
      </x:c>
      <x:c r="G17" s="20" t="n">
        <x:v>0.9</x:v>
      </x:c>
      <x:c r="H17" s="19" t="str">
        <x:v>高</x:v>
      </x:c>
      <x:c r="I17" s="19" t="n">
        <x:v>2</x:v>
      </x:c>
      <x:c r="J17" s="19" t="n">
        <x:v>2</x:v>
      </x:c>
      <x:c r="K17" s="19" t="str">
        <x:v>文档方案二仅看个体；不等同原R01的DTQ-营收增速背离，也未做行业-年度Z-score。；绩效说明会问答替代互动易/E互动；媒体采用标题直相关且全文可得的固定样本；未取得全量互动平台季度提问，不能作为原R01正式分。</x:v>
      </x:c>
    </x:row>
    <x:row r="18" ht="15" hidden="0" customHeight="1">
      <x:c r="A18" s="19" t="str">
        <x:v>R01–R04审计</x:v>
      </x:c>
      <x:c r="B18" s="19" t="str">
        <x:v>百利天恒</x:v>
      </x:c>
      <x:c r="C18" s="19" t="str">
        <x:v>R02</x:v>
      </x:c>
      <x:c r="D18" s="19" t="str">
        <x:v>部分覆盖/代理</x:v>
      </x:c>
      <x:c r="E18" s="33" t="b">
        <x:v>0</x:v>
      </x:c>
      <x:c r="F18" s="19"/>
      <x:c r="G18" s="20" t="n">
        <x:v>0.62</x:v>
      </x:c>
      <x:c r="H18" s="19" t="str">
        <x:v>中</x:v>
      </x:c>
      <x:c r="I18" s="19" t="n">
        <x:v>1</x:v>
      </x:c>
      <x:c r="J18" s="19" t="n">
        <x:v>1</x:v>
      </x:c>
      <x:c r="K18" s="19" t="str">
        <x:v>词典法不等于逐句事实核验；正式报告、监管文本和媒体体裁不同，数值仅表示措辞密度差。</x:v>
      </x:c>
    </x:row>
    <x:row r="19" ht="21.600000381469727" hidden="0" customHeight="1">
      <x:c r="A19" s="19" t="str">
        <x:v>R01–R04审计</x:v>
      </x:c>
      <x:c r="B19" s="19" t="str">
        <x:v>百利天恒</x:v>
      </x:c>
      <x:c r="C19" s="19" t="str">
        <x:v>R03</x:v>
      </x:c>
      <x:c r="D19" s="19" t="str">
        <x:v>原定义可计算</x:v>
      </x:c>
      <x:c r="E19" s="33" t="b">
        <x:v>1</x:v>
      </x:c>
      <x:c r="F19" s="19"/>
      <x:c r="G19" s="20" t="n">
        <x:v>0.86</x:v>
      </x:c>
      <x:c r="H19" s="19" t="str">
        <x:v>中高</x:v>
      </x:c>
      <x:c r="I19" s="19" t="n">
        <x:v>2</x:v>
      </x:c>
      <x:c r="J19" s="19" t="n">
        <x:v>1</x:v>
      </x:c>
      <x:c r="K19" s="19" t="str">
        <x:v>TONE标准差是为R03稳定性增加的辅助量，不是三份文档给出的独立风险阈值。；四期报告并非严格等间隔季度，季报信息量较少。</x:v>
      </x:c>
    </x:row>
    <x:row r="20" ht="15" hidden="0" customHeight="1">
      <x:c r="A20" s="19" t="str">
        <x:v>R01–R04审计</x:v>
      </x:c>
      <x:c r="B20" s="19" t="str">
        <x:v>百利天恒</x:v>
      </x:c>
      <x:c r="C20" s="19" t="str">
        <x:v>R04</x:v>
      </x:c>
      <x:c r="D20" s="19" t="str">
        <x:v>原定义可计算</x:v>
      </x:c>
      <x:c r="E20" s="33" t="b">
        <x:v>1</x:v>
      </x:c>
      <x:c r="F20" s="19"/>
      <x:c r="G20" s="20" t="n">
        <x:v>0.95</x:v>
      </x:c>
      <x:c r="H20" s="19" t="str">
        <x:v>高</x:v>
      </x:c>
      <x:c r="I20" s="19" t="n">
        <x:v>1</x:v>
      </x:c>
      <x:c r="J20" s="19" t="n">
        <x:v>1</x:v>
      </x:c>
      <x:c r="K20" s="19" t="str">
        <x:v>概念标签固定为创新药/双抗ADC；知识产权收入主要关联iza-bren合作，但不等同产品销售收入。</x:v>
      </x:c>
    </x:row>
  </x:sheetData>
  <x:mergeCells>
    <x:mergeCell ref="A1:K2"/>
    <x:mergeCell ref="A3:K3"/>
  </x:mergeCells>
  <x:conditionalFormatting sqref="D5:D20">
    <x:cfRule type="containsText" dxfId="9" priority="1" operator="containsText" text="缺失"/>
    <x:cfRule type="containsText" dxfId="10" priority="2" operator="containsText" text="可计算"/>
  </x:conditionalFormatting>
  <x:pageMargins left="0.7" right="0.7" top="0.75" bottom="0.75" header="0.3" footer="0.3"/>
  <x:tableParts count="1">
    <x:tablePart xmlns:r="http://schemas.openxmlformats.org/officeDocument/2006/relationships" r:id="R40dce7bbacab4d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0" hidden="0" customWidth="1"/>
    <x:col min="5" max="5" width="9" hidden="0" customWidth="1"/>
    <x:col min="6" max="6" width="28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2" hidden="0" customWidth="1"/>
    <x:col min="13" max="13" width="64" hidden="0" customWidth="1"/>
  </x:cols>
  <x:sheetData>
    <x:row r="1" ht="34" customHeight="1">
      <x:c r="A1" s="3" t="str">
        <x:v>客观风险基准（沿用上一版 R05–R22）</x:v>
      </x:c>
      <x:c r="B1" s="3" t="str">
        <x:v>客观风险基准（沿用上一版 R05–R22）</x:v>
      </x:c>
      <x:c r="C1" s="3" t="str">
        <x:v>客观风险基准（沿用上一版 R05–R22）</x:v>
      </x:c>
      <x:c r="D1" s="3" t="str">
        <x:v>客观风险基准（沿用上一版 R05–R22）</x:v>
      </x:c>
      <x:c r="E1" s="3" t="str">
        <x:v>客观风险基准（沿用上一版 R05–R22）</x:v>
      </x:c>
      <x:c r="F1" s="3" t="str">
        <x:v>客观风险基准（沿用上一版 R05–R22）</x:v>
      </x:c>
      <x:c r="G1" s="3" t="str">
        <x:v>客观风险基准（沿用上一版 R05–R22）</x:v>
      </x:c>
      <x:c r="H1" s="3" t="str">
        <x:v>客观风险基准（沿用上一版 R05–R22）</x:v>
      </x:c>
      <x:c r="I1" s="3" t="str">
        <x:v>客观风险基准（沿用上一版 R05–R22）</x:v>
      </x:c>
      <x:c r="J1" s="3" t="str">
        <x:v>客观风险基准（沿用上一版 R05–R22）</x:v>
      </x:c>
      <x:c r="K1" s="3" t="str">
        <x:v>客观风险基准（沿用上一版 R05–R22）</x:v>
      </x:c>
      <x:c r="L1" s="3" t="str">
        <x:v>客观风险基准（沿用上一版 R05–R22）</x:v>
      </x:c>
      <x:c r="M1" s="3" t="str">
        <x:v>客观风险基准（沿用上一版 R05–R22）</x:v>
      </x:c>
    </x:row>
    <x:row r="2" ht="34" customHeight="1">
      <x:c r="A2" s="3" t="str">
        <x:v>客观风险基准（沿用上一版 R05–R22）</x:v>
      </x:c>
      <x:c r="B2" s="3" t="str">
        <x:v>客观风险基准（沿用上一版 R05–R22）</x:v>
      </x:c>
      <x:c r="C2" s="3" t="str">
        <x:v>客观风险基准（沿用上一版 R05–R22）</x:v>
      </x:c>
      <x:c r="D2" s="3" t="str">
        <x:v>客观风险基准（沿用上一版 R05–R22）</x:v>
      </x:c>
      <x:c r="E2" s="3" t="str">
        <x:v>客观风险基准（沿用上一版 R05–R22）</x:v>
      </x:c>
      <x:c r="F2" s="3" t="str">
        <x:v>客观风险基准（沿用上一版 R05–R22）</x:v>
      </x:c>
      <x:c r="G2" s="3" t="str">
        <x:v>客观风险基准（沿用上一版 R05–R22）</x:v>
      </x:c>
      <x:c r="H2" s="3" t="str">
        <x:v>客观风险基准（沿用上一版 R05–R22）</x:v>
      </x:c>
      <x:c r="I2" s="3" t="str">
        <x:v>客观风险基准（沿用上一版 R05–R22）</x:v>
      </x:c>
      <x:c r="J2" s="3" t="str">
        <x:v>客观风险基准（沿用上一版 R05–R22）</x:v>
      </x:c>
      <x:c r="K2" s="3" t="str">
        <x:v>客观风险基准（沿用上一版 R05–R22）</x:v>
      </x:c>
      <x:c r="L2" s="3" t="str">
        <x:v>客观风险基准（沿用上一版 R05–R22）</x:v>
      </x:c>
      <x:c r="M2" s="3" t="str">
        <x:v>客观风险基准（沿用上一版 R05–R22）</x:v>
      </x:c>
    </x:row>
    <x:row r="3" ht="30" customHeight="1">
      <x:c r="A3" s="6" t="str">
        <x:v>方法版本IRAWC-CRITIC-2026.08-v2；指标风险分已从治理数据集复核入库。叙事增强层不回写客观总分。 </x:v>
      </x:c>
      <x:c r="B3" s="6" t="str">
        <x:v>方法版本IRAWC-CRITIC-2026.08-v2；指标风险分已从治理数据集复核入库。叙事增强层不回写客观总分。 </x:v>
      </x:c>
      <x:c r="C3" s="6" t="str">
        <x:v>方法版本IRAWC-CRITIC-2026.08-v2；指标风险分已从治理数据集复核入库。叙事增强层不回写客观总分。 </x:v>
      </x:c>
      <x:c r="D3" s="6" t="str">
        <x:v>方法版本IRAWC-CRITIC-2026.08-v2；指标风险分已从治理数据集复核入库。叙事增强层不回写客观总分。 </x:v>
      </x:c>
      <x:c r="E3" s="6" t="str">
        <x:v>方法版本IRAWC-CRITIC-2026.08-v2；指标风险分已从治理数据集复核入库。叙事增强层不回写客观总分。 </x:v>
      </x:c>
      <x:c r="F3" s="6" t="str">
        <x:v>方法版本IRAWC-CRITIC-2026.08-v2；指标风险分已从治理数据集复核入库。叙事增强层不回写客观总分。 </x:v>
      </x:c>
      <x:c r="G3" s="6" t="str">
        <x:v>方法版本IRAWC-CRITIC-2026.08-v2；指标风险分已从治理数据集复核入库。叙事增强层不回写客观总分。 </x:v>
      </x:c>
      <x:c r="H3" s="6" t="str">
        <x:v>方法版本IRAWC-CRITIC-2026.08-v2；指标风险分已从治理数据集复核入库。叙事增强层不回写客观总分。 </x:v>
      </x:c>
      <x:c r="I3" s="6" t="str">
        <x:v>方法版本IRAWC-CRITIC-2026.08-v2；指标风险分已从治理数据集复核入库。叙事增强层不回写客观总分。 </x:v>
      </x:c>
      <x:c r="J3" s="6" t="str">
        <x:v>方法版本IRAWC-CRITIC-2026.08-v2；指标风险分已从治理数据集复核入库。叙事增强层不回写客观总分。 </x:v>
      </x:c>
      <x:c r="K3" s="6" t="str">
        <x:v>方法版本IRAWC-CRITIC-2026.08-v2；指标风险分已从治理数据集复核入库。叙事增强层不回写客观总分。 </x:v>
      </x:c>
      <x:c r="L3" s="6" t="str">
        <x:v>方法版本IRAWC-CRITIC-2026.08-v2；指标风险分已从治理数据集复核入库。叙事增强层不回写客观总分。 </x:v>
      </x:c>
      <x:c r="M3" s="6" t="str">
        <x:v>方法版本IRAWC-CRITIC-2026.08-v2；指标风险分已从治理数据集复核入库。叙事增强层不回写客观总分。 </x:v>
      </x:c>
    </x:row>
    <x:row r="4" ht="15" hidden="0" customHeight="1">
      <x:c r="A4" s="15" t="str">
        <x:v>企业</x:v>
      </x:c>
      <x:c r="B4" s="15" t="str">
        <x:v>证券代码</x:v>
      </x:c>
      <x:c r="C4" s="15" t="str">
        <x:v>客观总分</x:v>
      </x:c>
      <x:c r="D4" s="15" t="str">
        <x:v>覆盖率</x:v>
      </x:c>
      <x:c r="E4" s="15" t="str">
        <x:v>指标</x:v>
      </x:c>
      <x:c r="F4" s="15" t="str">
        <x:v>指标名称</x:v>
      </x:c>
      <x:c r="G4" s="15" t="str">
        <x:v>原始值</x:v>
      </x:c>
      <x:c r="H4" s="15" t="str">
        <x:v>原始单位</x:v>
      </x:c>
      <x:c r="I4" s="15" t="str">
        <x:v>风险百分位</x:v>
      </x:c>
      <x:c r="J4" s="15" t="str">
        <x:v>指标风险分</x:v>
      </x:c>
      <x:c r="K4" s="15" t="str">
        <x:v>样本量</x:v>
      </x:c>
      <x:c r="L4" s="15" t="str">
        <x:v>状态</x:v>
      </x:c>
      <x:c r="M4" s="15" t="str">
        <x:v>限制</x:v>
      </x:c>
    </x:row>
    <x:row r="5" ht="15" hidden="0" customHeight="1">
      <x:c r="A5" s="19" t="str">
        <x:v>寒武纪</x:v>
      </x:c>
      <x:c r="B5" s="19" t="str">
        <x:v>688256</x:v>
      </x:c>
      <x:c r="C5" s="20" t="n">
        <x:v>47.27</x:v>
      </x:c>
      <x:c r="D5" s="21" t="n">
        <x:v>0.8889</x:v>
      </x:c>
      <x:c r="E5" s="19" t="str">
        <x:v>R05</x:v>
      </x:c>
      <x:c r="F5" s="19" t="str">
        <x:v>技术先进性—专利质量</x:v>
      </x:c>
      <x:c r="G5" s="19" t="n">
        <x:v>552</x:v>
      </x:c>
      <x:c r="H5" s="19" t="str">
        <x:v>项</x:v>
      </x:c>
      <x:c r="I5" s="20" t="n">
        <x:v>0.0556</x:v>
      </x:c>
      <x:c r="J5" s="20" t="n">
        <x:v>27.78</x:v>
      </x:c>
      <x:c r="K5" s="19" t="n">
        <x:v>37</x:v>
      </x:c>
      <x:c r="L5" s="19" t="str">
        <x:v>scored</x:v>
      </x:c>
      <x:c r="M5" s="19" t="str">
        <x:v>当前使用有效/授权/专利存量代理，尚缺专利族、去自引前向引用和IPC年份标准化。</x:v>
      </x:c>
    </x:row>
    <x:row r="6" ht="15" hidden="0" customHeight="1">
      <x:c r="A6" s="19" t="str">
        <x:v>寒武纪</x:v>
      </x:c>
      <x:c r="B6" s="19" t="str">
        <x:v>688256</x:v>
      </x:c>
      <x:c r="C6" s="20" t="n">
        <x:v>47.27</x:v>
      </x:c>
      <x:c r="D6" s="21" t="n">
        <x:v>0.8889</x:v>
      </x:c>
      <x:c r="E6" s="19" t="str">
        <x:v>R06</x:v>
      </x:c>
      <x:c r="F6" s="19" t="str">
        <x:v>核心技术人员占比</x:v>
      </x:c>
      <x:c r="G6" s="19" t="n">
        <x:v>80.62</x:v>
      </x:c>
      <x:c r="H6" s="19" t="str">
        <x:v>%</x:v>
      </x:c>
      <x:c r="I6" s="20" t="n">
        <x:v>0.1154</x:v>
      </x:c>
      <x:c r="J6" s="20" t="n">
        <x:v>30.77</x:v>
      </x:c>
      <x:c r="K6" s="19" t="n">
        <x:v>66</x:v>
      </x:c>
      <x:c r="L6" s="19" t="str">
        <x:v>scored</x:v>
      </x:c>
      <x:c r="M6" s="19" t="str">
        <x:v>以研发人员占比作为核心技术人员占比的统一代理。</x:v>
      </x:c>
    </x:row>
    <x:row r="7" ht="15" hidden="0" customHeight="1">
      <x:c r="A7" s="19" t="str">
        <x:v>寒武纪</x:v>
      </x:c>
      <x:c r="B7" s="19" t="str">
        <x:v>688256</x:v>
      </x:c>
      <x:c r="C7" s="20" t="n">
        <x:v>47.27</x:v>
      </x:c>
      <x:c r="D7" s="21" t="n">
        <x:v>0.8889</x:v>
      </x:c>
      <x:c r="E7" s="19" t="str">
        <x:v>R07</x:v>
      </x:c>
      <x:c r="F7" s="19" t="str">
        <x:v>研发投入强度与趋势</x:v>
      </x:c>
      <x:c r="G7" s="19" t="n">
        <x:v>11.72</x:v>
      </x:c>
      <x:c r="H7" s="19" t="str">
        <x:v>%</x:v>
      </x:c>
      <x:c r="I7" s="20" t="n">
        <x:v>0.8308</x:v>
      </x:c>
      <x:c r="J7" s="20" t="n">
        <x:v>66.54</x:v>
      </x:c>
      <x:c r="K7" s="19" t="n">
        <x:v>66</x:v>
      </x:c>
      <x:c r="L7" s="19" t="str">
        <x:v>scored</x:v>
      </x:c>
      <x:c r="M7" s="19" t="str">
        <x:v>以最新研发投入强度做横截面基准，趋势信息作为后续解释。</x:v>
      </x:c>
    </x:row>
    <x:row r="8" ht="15" hidden="0" customHeight="1">
      <x:c r="A8" s="19" t="str">
        <x:v>寒武纪</x:v>
      </x:c>
      <x:c r="B8" s="19" t="str">
        <x:v>688256</x:v>
      </x:c>
      <x:c r="C8" s="20" t="n">
        <x:v>47.27</x:v>
      </x:c>
      <x:c r="D8" s="21" t="n">
        <x:v>0.8889</x:v>
      </x:c>
      <x:c r="E8" s="19" t="str">
        <x:v>R08</x:v>
      </x:c>
      <x:c r="F8" s="19" t="str">
        <x:v>研发/募投里程碑兑现度</x:v>
      </x:c>
      <x:c r="G8" s="19"/>
      <x:c r="H8" s="19" t="str">
        <x:v>次</x:v>
      </x:c>
      <x:c r="I8" s="20"/>
      <x:c r="J8" s="20"/>
      <x:c r="K8" s="19" t="n">
        <x:v>0</x:v>
      </x:c>
      <x:c r="L8" s="19" t="str">
        <x:v>missing</x:v>
      </x:c>
      <x:c r="M8" s="19" t="str">
        <x:v>以延期、负面或变更事件数代理未兑现程度，未获得统一加权兑现率。</x:v>
      </x:c>
    </x:row>
    <x:row r="9" ht="15" hidden="0" customHeight="1">
      <x:c r="A9" s="19" t="str">
        <x:v>寒武纪</x:v>
      </x:c>
      <x:c r="B9" s="19" t="str">
        <x:v>688256</x:v>
      </x:c>
      <x:c r="C9" s="20" t="n">
        <x:v>47.27</x:v>
      </x:c>
      <x:c r="D9" s="21" t="n">
        <x:v>0.8889</x:v>
      </x:c>
      <x:c r="E9" s="19" t="str">
        <x:v>R09</x:v>
      </x:c>
      <x:c r="F9" s="19" t="str">
        <x:v>重大技术与知识产权事件</x:v>
      </x:c>
      <x:c r="G9" s="19" t="n">
        <x:v>0</x:v>
      </x:c>
      <x:c r="H9" s="19" t="str">
        <x:v>项</x:v>
      </x:c>
      <x:c r="I9" s="20" t="n">
        <x:v>0.4571</x:v>
      </x:c>
      <x:c r="J9" s="20" t="n">
        <x:v>47.86</x:v>
      </x:c>
      <x:c r="K9" s="19" t="n">
        <x:v>36</x:v>
      </x:c>
      <x:c r="L9" s="19" t="str">
        <x:v>scored</x:v>
      </x:c>
      <x:c r="M9" s="19" t="str">
        <x:v>不利状态和质量事件是事件数量代理，未建立损失、责任与时间系数。</x:v>
      </x:c>
    </x:row>
    <x:row r="10" ht="15" hidden="0" customHeight="1">
      <x:c r="A10" s="19" t="str">
        <x:v>寒武纪</x:v>
      </x:c>
      <x:c r="B10" s="19" t="str">
        <x:v>688256</x:v>
      </x:c>
      <x:c r="C10" s="20" t="n">
        <x:v>47.27</x:v>
      </x:c>
      <x:c r="D10" s="21" t="n">
        <x:v>0.8889</x:v>
      </x:c>
      <x:c r="E10" s="19" t="str">
        <x:v>R10</x:v>
      </x:c>
      <x:c r="F10" s="19" t="str">
        <x:v>监管处罚次数</x:v>
      </x:c>
      <x:c r="G10" s="19" t="n">
        <x:v>0</x:v>
      </x:c>
      <x:c r="H10" s="19" t="str">
        <x:v>条</x:v>
      </x:c>
      <x:c r="I10" s="20" t="n">
        <x:v>0.4444</x:v>
      </x:c>
      <x:c r="J10" s="20" t="n">
        <x:v>47.22</x:v>
      </x:c>
      <x:c r="K10" s="19" t="n">
        <x:v>37</x:v>
      </x:c>
      <x:c r="L10" s="19" t="str">
        <x:v>scored</x:v>
      </x:c>
      <x:c r="M10" s="19" t="str">
        <x:v>累计处罚代理不完全等同于单季度处罚次数。</x:v>
      </x:c>
    </x:row>
    <x:row r="11" ht="15" hidden="0" customHeight="1">
      <x:c r="A11" s="19" t="str">
        <x:v>寒武纪</x:v>
      </x:c>
      <x:c r="B11" s="19" t="str">
        <x:v>688256</x:v>
      </x:c>
      <x:c r="C11" s="20" t="n">
        <x:v>47.27</x:v>
      </x:c>
      <x:c r="D11" s="21" t="n">
        <x:v>0.8889</x:v>
      </x:c>
      <x:c r="E11" s="19" t="str">
        <x:v>R11</x:v>
      </x:c>
      <x:c r="F11" s="19" t="str">
        <x:v>交易所问询次数</x:v>
      </x:c>
      <x:c r="G11" s="19" t="n">
        <x:v>0</x:v>
      </x:c>
      <x:c r="H11" s="19" t="str">
        <x:v>个主题</x:v>
      </x:c>
      <x:c r="I11" s="20" t="n">
        <x:v>0.373</x:v>
      </x:c>
      <x:c r="J11" s="20" t="n">
        <x:v>43.65</x:v>
      </x:c>
      <x:c r="K11" s="19" t="n">
        <x:v>64</x:v>
      </x:c>
      <x:c r="L11" s="19" t="str">
        <x:v>scored</x:v>
      </x:c>
      <x:c r="M11" s="19" t="str">
        <x:v>按同口径报告期问询主题数进行行业内比较。</x:v>
      </x:c>
    </x:row>
    <x:row r="12" ht="15" hidden="0" customHeight="1">
      <x:c r="A12" s="19" t="str">
        <x:v>寒武纪</x:v>
      </x:c>
      <x:c r="B12" s="19" t="str">
        <x:v>688256</x:v>
      </x:c>
      <x:c r="C12" s="20" t="n">
        <x:v>47.27</x:v>
      </x:c>
      <x:c r="D12" s="21" t="n">
        <x:v>0.8889</x:v>
      </x:c>
      <x:c r="E12" s="19" t="str">
        <x:v>R12</x:v>
      </x:c>
      <x:c r="F12" s="19" t="str">
        <x:v>诉讼风险</x:v>
      </x:c>
      <x:c r="G12" s="19" t="n">
        <x:v>2</x:v>
      </x:c>
      <x:c r="H12" s="19" t="str">
        <x:v>件</x:v>
      </x:c>
      <x:c r="I12" s="20" t="n">
        <x:v>0.9444</x:v>
      </x:c>
      <x:c r="J12" s="20" t="n">
        <x:v>72.22</x:v>
      </x:c>
      <x:c r="K12" s="19" t="n">
        <x:v>37</x:v>
      </x:c>
      <x:c r="L12" s="19" t="str">
        <x:v>scored</x:v>
      </x:c>
      <x:c r="M12" s="19" t="str">
        <x:v>不同来源分别比较案件总数、被告判决或重大诉讼披露，未统一金额占营收口径。</x:v>
      </x:c>
    </x:row>
    <x:row r="13" ht="15" hidden="0" customHeight="1">
      <x:c r="A13" s="19" t="str">
        <x:v>寒武纪</x:v>
      </x:c>
      <x:c r="B13" s="19" t="str">
        <x:v>688256</x:v>
      </x:c>
      <x:c r="C13" s="20" t="n">
        <x:v>47.27</x:v>
      </x:c>
      <x:c r="D13" s="21" t="n">
        <x:v>0.8889</x:v>
      </x:c>
      <x:c r="E13" s="19" t="str">
        <x:v>R13</x:v>
      </x:c>
      <x:c r="F13" s="19" t="str">
        <x:v>营业收入增长率</x:v>
      </x:c>
      <x:c r="G13" s="19" t="n">
        <x:v>108.133137</x:v>
      </x:c>
      <x:c r="H13" s="19" t="str">
        <x:v>%</x:v>
      </x:c>
      <x:c r="I13" s="20" t="n">
        <x:v>0.0923</x:v>
      </x:c>
      <x:c r="J13" s="20" t="n">
        <x:v>29.62</x:v>
      </x:c>
      <x:c r="K13" s="19" t="n">
        <x:v>66</x:v>
      </x:c>
      <x:c r="L13" s="19" t="str">
        <x:v>scored</x:v>
      </x:c>
      <x:c r="M13" s="19" t="str">
        <x:v>使用最新可比报告期的营业收入同比增长率。</x:v>
      </x:c>
    </x:row>
    <x:row r="14" ht="15" hidden="0" customHeight="1">
      <x:c r="A14" s="19" t="str">
        <x:v>寒武纪</x:v>
      </x:c>
      <x:c r="B14" s="19" t="str">
        <x:v>688256</x:v>
      </x:c>
      <x:c r="C14" s="20" t="n">
        <x:v>47.27</x:v>
      </x:c>
      <x:c r="D14" s="21" t="n">
        <x:v>0.8889</x:v>
      </x:c>
      <x:c r="E14" s="19" t="str">
        <x:v>R14</x:v>
      </x:c>
      <x:c r="F14" s="19" t="str">
        <x:v>无形资产减值风险</x:v>
      </x:c>
      <x:c r="G14" s="19" t="n">
        <x:v>-0.349998</x:v>
      </x:c>
      <x:c r="H14" s="19" t="str">
        <x:v>百分点</x:v>
      </x:c>
      <x:c r="I14" s="20" t="n">
        <x:v>0.1224</x:v>
      </x:c>
      <x:c r="J14" s="20" t="n">
        <x:v>31.12</x:v>
      </x:c>
      <x:c r="K14" s="19" t="n">
        <x:v>50</x:v>
      </x:c>
      <x:c r="L14" s="19" t="str">
        <x:v>scored</x:v>
      </x:c>
      <x:c r="M14" s="19" t="str">
        <x:v>同口径比较无形资产占比变动或占比水平，不能替代正式减值测试。</x:v>
      </x:c>
    </x:row>
    <x:row r="15" ht="15" hidden="0" customHeight="1">
      <x:c r="A15" s="19" t="str">
        <x:v>寒武纪</x:v>
      </x:c>
      <x:c r="B15" s="19" t="str">
        <x:v>688256</x:v>
      </x:c>
      <x:c r="C15" s="20" t="n">
        <x:v>47.27</x:v>
      </x:c>
      <x:c r="D15" s="21" t="n">
        <x:v>0.8889</x:v>
      </x:c>
      <x:c r="E15" s="19" t="str">
        <x:v>R15</x:v>
      </x:c>
      <x:c r="F15" s="19" t="str">
        <x:v>融资成本</x:v>
      </x:c>
      <x:c r="G15" s="19" t="n">
        <x:v>7.517217</x:v>
      </x:c>
      <x:c r="H15" s="19" t="str">
        <x:v>%</x:v>
      </x:c>
      <x:c r="I15" s="20" t="n">
        <x:v>0.9231</x:v>
      </x:c>
      <x:c r="J15" s="20" t="n">
        <x:v>71.16</x:v>
      </x:c>
      <x:c r="K15" s="19" t="n">
        <x:v>27</x:v>
      </x:c>
      <x:c r="L15" s="19" t="str">
        <x:v>scored</x:v>
      </x:c>
      <x:c r="M15" s="19" t="str">
        <x:v>债务成本率与利息支出分别在同口径样本内排名，未形成完整WACC。</x:v>
      </x:c>
    </x:row>
    <x:row r="16" ht="15" hidden="0" customHeight="1">
      <x:c r="A16" s="19" t="str">
        <x:v>寒武纪</x:v>
      </x:c>
      <x:c r="B16" s="19" t="str">
        <x:v>688256</x:v>
      </x:c>
      <x:c r="C16" s="20" t="n">
        <x:v>47.27</x:v>
      </x:c>
      <x:c r="D16" s="21" t="n">
        <x:v>0.8889</x:v>
      </x:c>
      <x:c r="E16" s="19" t="str">
        <x:v>R16</x:v>
      </x:c>
      <x:c r="F16" s="19" t="str">
        <x:v>经营现金流与短期偿债压力</x:v>
      </x:c>
      <x:c r="G16" s="19" t="n">
        <x:v>18.355841</x:v>
      </x:c>
      <x:c r="H16" s="19" t="str">
        <x:v>倍</x:v>
      </x:c>
      <x:c r="I16" s="20" t="n">
        <x:v>0.0167</x:v>
      </x:c>
      <x:c r="J16" s="20" t="n">
        <x:v>25.84</x:v>
      </x:c>
      <x:c r="K16" s="19" t="n">
        <x:v>61</x:v>
      </x:c>
      <x:c r="L16" s="19" t="str">
        <x:v>scored</x:v>
      </x:c>
      <x:c r="M16" s="19" t="str">
        <x:v>优先使用经营现金流短债覆盖率，缺失时使用现金短债比。</x:v>
      </x:c>
    </x:row>
    <x:row r="17" ht="15" hidden="0" customHeight="1">
      <x:c r="A17" s="19" t="str">
        <x:v>寒武纪</x:v>
      </x:c>
      <x:c r="B17" s="19" t="str">
        <x:v>688256</x:v>
      </x:c>
      <x:c r="C17" s="20" t="n">
        <x:v>47.27</x:v>
      </x:c>
      <x:c r="D17" s="21" t="n">
        <x:v>0.8889</x:v>
      </x:c>
      <x:c r="E17" s="19" t="str">
        <x:v>R17</x:v>
      </x:c>
      <x:c r="F17" s="19" t="str">
        <x:v>关键供应链进口依赖度</x:v>
      </x:c>
      <x:c r="G17" s="19" t="n">
        <x:v>5</x:v>
      </x:c>
      <x:c r="H17" s="19" t="str">
        <x:v>家</x:v>
      </x:c>
      <x:c r="I17" s="20" t="n">
        <x:v>0.3</x:v>
      </x:c>
      <x:c r="J17" s="20" t="n">
        <x:v>40</x:v>
      </x:c>
      <x:c r="K17" s="19" t="n">
        <x:v>6</x:v>
      </x:c>
      <x:c r="L17" s="19" t="str">
        <x:v>scored</x:v>
      </x:c>
      <x:c r="M17" s="19" t="str">
        <x:v>以已核验境内供应商数代理，样本较小且注册地不等于生产国。</x:v>
      </x:c>
    </x:row>
    <x:row r="18" ht="15" hidden="0" customHeight="1">
      <x:c r="A18" s="19" t="str">
        <x:v>寒武纪</x:v>
      </x:c>
      <x:c r="B18" s="19" t="str">
        <x:v>688256</x:v>
      </x:c>
      <x:c r="C18" s="20" t="n">
        <x:v>47.27</x:v>
      </x:c>
      <x:c r="D18" s="21" t="n">
        <x:v>0.8889</x:v>
      </x:c>
      <x:c r="E18" s="19" t="str">
        <x:v>R18</x:v>
      </x:c>
      <x:c r="F18" s="19" t="str">
        <x:v>海外业务收入占比</x:v>
      </x:c>
      <x:c r="G18" s="19" t="n">
        <x:v>0.001032</x:v>
      </x:c>
      <x:c r="H18" s="19" t="str">
        <x:v>%</x:v>
      </x:c>
      <x:c r="I18" s="20" t="n">
        <x:v>0</x:v>
      </x:c>
      <x:c r="J18" s="20" t="n">
        <x:v>25</x:v>
      </x:c>
      <x:c r="K18" s="19" t="n">
        <x:v>36</x:v>
      </x:c>
      <x:c r="L18" s="19" t="str">
        <x:v>scored</x:v>
      </x:c>
      <x:c r="M18" s="19" t="str">
        <x:v>海外收入暴露不等同于实际损失，需与管制命中联合解释。</x:v>
      </x:c>
    </x:row>
    <x:row r="19" ht="15" hidden="0" customHeight="1">
      <x:c r="A19" s="19" t="str">
        <x:v>寒武纪</x:v>
      </x:c>
      <x:c r="B19" s="19" t="str">
        <x:v>688256</x:v>
      </x:c>
      <x:c r="C19" s="20" t="n">
        <x:v>47.27</x:v>
      </x:c>
      <x:c r="D19" s="21" t="n">
        <x:v>0.8889</x:v>
      </x:c>
      <x:c r="E19" s="19" t="str">
        <x:v>R19</x:v>
      </x:c>
      <x:c r="F19" s="19" t="str">
        <x:v>出口管制与制裁暴露度</x:v>
      </x:c>
      <x:c r="G19" s="19" t="n">
        <x:v>1</x:v>
      </x:c>
      <x:c r="H19" s="19" t="str">
        <x:v>类清单</x:v>
      </x:c>
      <x:c r="I19" s="20" t="n">
        <x:v>0.9603</x:v>
      </x:c>
      <x:c r="J19" s="20" t="n">
        <x:v>73.02</x:v>
      </x:c>
      <x:c r="K19" s="19" t="n">
        <x:v>64</x:v>
      </x:c>
      <x:c r="L19" s="19" t="str">
        <x:v>scored</x:v>
      </x:c>
      <x:c r="M19" s="19" t="str">
        <x:v>合并美国CSL与欧盟FSD精确命中数；尚缺BOM/ECCN影响比例和集团穿透。</x:v>
      </x:c>
    </x:row>
    <x:row r="20" ht="15" hidden="0" customHeight="1">
      <x:c r="A20" s="19" t="str">
        <x:v>寒武纪</x:v>
      </x:c>
      <x:c r="B20" s="19" t="str">
        <x:v>688256</x:v>
      </x:c>
      <x:c r="C20" s="20" t="n">
        <x:v>47.27</x:v>
      </x:c>
      <x:c r="D20" s="21" t="n">
        <x:v>0.8889</x:v>
      </x:c>
      <x:c r="E20" s="19" t="str">
        <x:v>R20</x:v>
      </x:c>
      <x:c r="F20" s="19" t="str">
        <x:v>控制权稀释与稳定性</x:v>
      </x:c>
      <x:c r="G20" s="19"/>
      <x:c r="H20" s="19" t="str">
        <x:v>%</x:v>
      </x:c>
      <x:c r="I20" s="20"/>
      <x:c r="J20" s="20"/>
      <x:c r="K20" s="19" t="n">
        <x:v>0</x:v>
      </x:c>
      <x:c r="L20" s="19" t="str">
        <x:v>missing</x:v>
      </x:c>
      <x:c r="M20" s="19" t="str">
        <x:v>以可获得的最大控制人持股比例代理，尚缺表决权协议和一致行动关系。</x:v>
      </x:c>
    </x:row>
    <x:row r="21" ht="15" hidden="0" customHeight="1">
      <x:c r="A21" s="19" t="str">
        <x:v>寒武纪</x:v>
      </x:c>
      <x:c r="B21" s="19" t="str">
        <x:v>688256</x:v>
      </x:c>
      <x:c r="C21" s="20" t="n">
        <x:v>47.27</x:v>
      </x:c>
      <x:c r="D21" s="21" t="n">
        <x:v>0.8889</x:v>
      </x:c>
      <x:c r="E21" s="19" t="str">
        <x:v>R21</x:v>
      </x:c>
      <x:c r="F21" s="19" t="str">
        <x:v>高管关联风险暴露度</x:v>
      </x:c>
      <x:c r="G21" s="19" t="n">
        <x:v>1532</x:v>
      </x:c>
      <x:c r="H21" s="19" t="str">
        <x:v>条</x:v>
      </x:c>
      <x:c r="I21" s="20" t="n">
        <x:v>0.8611</x:v>
      </x:c>
      <x:c r="J21" s="20" t="n">
        <x:v>68.05</x:v>
      </x:c>
      <x:c r="K21" s="19" t="n">
        <x:v>37</x:v>
      </x:c>
      <x:c r="L21" s="19" t="str">
        <x:v>scored</x:v>
      </x:c>
      <x:c r="M21" s="19" t="str">
        <x:v>以企业/境内主体风险聚合代理高管关联暴露，关联风险不等于人员本人违法。</x:v>
      </x:c>
    </x:row>
    <x:row r="22" ht="15" hidden="0" customHeight="1">
      <x:c r="A22" s="19" t="str">
        <x:v>寒武纪</x:v>
      </x:c>
      <x:c r="B22" s="19" t="str">
        <x:v>688256</x:v>
      </x:c>
      <x:c r="C22" s="20" t="n">
        <x:v>47.27</x:v>
      </x:c>
      <x:c r="D22" s="21" t="n">
        <x:v>0.8889</x:v>
      </x:c>
      <x:c r="E22" s="19" t="str">
        <x:v>R22</x:v>
      </x:c>
      <x:c r="F22" s="19" t="str">
        <x:v>关键管理与技术人员稳定性</x:v>
      </x:c>
      <x:c r="G22" s="19" t="n">
        <x:v>0</x:v>
      </x:c>
      <x:c r="H22" s="19" t="str">
        <x:v>人/事件</x:v>
      </x:c>
      <x:c r="I22" s="20" t="n">
        <x:v>0.4677</x:v>
      </x:c>
      <x:c r="J22" s="20" t="n">
        <x:v>48.38</x:v>
      </x:c>
      <x:c r="K22" s="19" t="n">
        <x:v>63</x:v>
      </x:c>
      <x:c r="L22" s="19" t="str">
        <x:v>scored</x:v>
      </x:c>
      <x:c r="M22" s="19" t="str">
        <x:v>以核心技术人员离职/变更事件数代理流失率，尚缺统一期初人数分母。</x:v>
      </x:c>
    </x:row>
    <x:row r="23" ht="15" hidden="0" customHeight="1">
      <x:c r="A23" s="19" t="str">
        <x:v>燧原科技</x:v>
      </x:c>
      <x:c r="B23" s="19" t="str">
        <x:v>688801</x:v>
      </x:c>
      <x:c r="C23" s="20" t="n">
        <x:v>46.75</x:v>
      </x:c>
      <x:c r="D23" s="21" t="n">
        <x:v>0.5</x:v>
      </x:c>
      <x:c r="E23" s="19" t="str">
        <x:v>R05</x:v>
      </x:c>
      <x:c r="F23" s="19" t="str">
        <x:v>技术先进性—专利质量</x:v>
      </x:c>
      <x:c r="G23" s="19" t="n">
        <x:v>195</x:v>
      </x:c>
      <x:c r="H23" s="19" t="str">
        <x:v>项</x:v>
      </x:c>
      <x:c r="I23" s="20" t="n">
        <x:v>0.5</x:v>
      </x:c>
      <x:c r="J23" s="20" t="n">
        <x:v>50</x:v>
      </x:c>
      <x:c r="K23" s="19" t="n">
        <x:v>29</x:v>
      </x:c>
      <x:c r="L23" s="19" t="str">
        <x:v>scored</x:v>
      </x:c>
      <x:c r="M23" s="19" t="str">
        <x:v>当前使用有效/授权/专利存量代理，尚缺专利族、去自引前向引用和IPC年份标准化。</x:v>
      </x:c>
    </x:row>
    <x:row r="24" ht="15" hidden="0" customHeight="1">
      <x:c r="A24" s="19" t="str">
        <x:v>燧原科技</x:v>
      </x:c>
      <x:c r="B24" s="19" t="str">
        <x:v>688801</x:v>
      </x:c>
      <x:c r="C24" s="20" t="n">
        <x:v>46.75</x:v>
      </x:c>
      <x:c r="D24" s="21" t="n">
        <x:v>0.5</x:v>
      </x:c>
      <x:c r="E24" s="19" t="str">
        <x:v>R06</x:v>
      </x:c>
      <x:c r="F24" s="19" t="str">
        <x:v>核心技术人员占比</x:v>
      </x:c>
      <x:c r="G24" s="19" t="n">
        <x:v>76.73</x:v>
      </x:c>
      <x:c r="H24" s="19" t="str">
        <x:v>%</x:v>
      </x:c>
      <x:c r="I24" s="20" t="n">
        <x:v>0.1538</x:v>
      </x:c>
      <x:c r="J24" s="20" t="n">
        <x:v>32.69</x:v>
      </x:c>
      <x:c r="K24" s="19" t="n">
        <x:v>66</x:v>
      </x:c>
      <x:c r="L24" s="19" t="str">
        <x:v>scored</x:v>
      </x:c>
      <x:c r="M24" s="19" t="str">
        <x:v>以研发人员占比作为核心技术人员占比的统一代理。</x:v>
      </x:c>
    </x:row>
    <x:row r="25" ht="15" hidden="0" customHeight="1">
      <x:c r="A25" s="19" t="str">
        <x:v>燧原科技</x:v>
      </x:c>
      <x:c r="B25" s="19" t="str">
        <x:v>688801</x:v>
      </x:c>
      <x:c r="C25" s="20" t="n">
        <x:v>46.75</x:v>
      </x:c>
      <x:c r="D25" s="21" t="n">
        <x:v>0.5</x:v>
      </x:c>
      <x:c r="E25" s="19" t="str">
        <x:v>R07</x:v>
      </x:c>
      <x:c r="F25" s="19" t="str">
        <x:v>研发投入强度与趋势</x:v>
      </x:c>
      <x:c r="G25" s="19" t="n">
        <x:v>114.63</x:v>
      </x:c>
      <x:c r="H25" s="19" t="str">
        <x:v>%</x:v>
      </x:c>
      <x:c r="I25" s="20" t="n">
        <x:v>0</x:v>
      </x:c>
      <x:c r="J25" s="20" t="n">
        <x:v>25</x:v>
      </x:c>
      <x:c r="K25" s="19" t="n">
        <x:v>66</x:v>
      </x:c>
      <x:c r="L25" s="19" t="str">
        <x:v>scored</x:v>
      </x:c>
      <x:c r="M25" s="19" t="str">
        <x:v>以最新研发投入强度做横截面基准，趋势信息作为后续解释。</x:v>
      </x:c>
    </x:row>
    <x:row r="26" ht="15" hidden="0" customHeight="1">
      <x:c r="A26" s="19" t="str">
        <x:v>燧原科技</x:v>
      </x:c>
      <x:c r="B26" s="19" t="str">
        <x:v>688801</x:v>
      </x:c>
      <x:c r="C26" s="20" t="n">
        <x:v>46.75</x:v>
      </x:c>
      <x:c r="D26" s="21" t="n">
        <x:v>0.5</x:v>
      </x:c>
      <x:c r="E26" s="19" t="str">
        <x:v>R08</x:v>
      </x:c>
      <x:c r="F26" s="19" t="str">
        <x:v>研发/募投里程碑兑现度</x:v>
      </x:c>
      <x:c r="G26" s="19"/>
      <x:c r="H26" s="19" t="str">
        <x:v>次</x:v>
      </x:c>
      <x:c r="I26" s="20"/>
      <x:c r="J26" s="20"/>
      <x:c r="K26" s="19" t="n">
        <x:v>0</x:v>
      </x:c>
      <x:c r="L26" s="19" t="str">
        <x:v>missing</x:v>
      </x:c>
      <x:c r="M26" s="19" t="str">
        <x:v>以延期、负面或变更事件数代理未兑现程度，未获得统一加权兑现率。</x:v>
      </x:c>
    </x:row>
    <x:row r="27" ht="15" hidden="0" customHeight="1">
      <x:c r="A27" s="19" t="str">
        <x:v>燧原科技</x:v>
      </x:c>
      <x:c r="B27" s="19" t="str">
        <x:v>688801</x:v>
      </x:c>
      <x:c r="C27" s="20" t="n">
        <x:v>46.75</x:v>
      </x:c>
      <x:c r="D27" s="21" t="n">
        <x:v>0.5</x:v>
      </x:c>
      <x:c r="E27" s="19" t="str">
        <x:v>R09</x:v>
      </x:c>
      <x:c r="F27" s="19" t="str">
        <x:v>重大技术与知识产权事件</x:v>
      </x:c>
      <x:c r="G27" s="19"/>
      <x:c r="H27" s="19" t="str">
        <x:v>项</x:v>
      </x:c>
      <x:c r="I27" s="20"/>
      <x:c r="J27" s="20"/>
      <x:c r="K27" s="19" t="n">
        <x:v>0</x:v>
      </x:c>
      <x:c r="L27" s="19" t="str">
        <x:v>missing</x:v>
      </x:c>
      <x:c r="M27" s="19" t="str">
        <x:v>不利状态和质量事件是事件数量代理，未建立损失、责任与时间系数。</x:v>
      </x:c>
    </x:row>
    <x:row r="28" ht="15" hidden="0" customHeight="1">
      <x:c r="A28" s="19" t="str">
        <x:v>燧原科技</x:v>
      </x:c>
      <x:c r="B28" s="19" t="str">
        <x:v>688801</x:v>
      </x:c>
      <x:c r="C28" s="20" t="n">
        <x:v>46.75</x:v>
      </x:c>
      <x:c r="D28" s="21" t="n">
        <x:v>0.5</x:v>
      </x:c>
      <x:c r="E28" s="19" t="str">
        <x:v>R10</x:v>
      </x:c>
      <x:c r="F28" s="19" t="str">
        <x:v>监管处罚次数</x:v>
      </x:c>
      <x:c r="G28" s="19" t="n">
        <x:v>0</x:v>
      </x:c>
      <x:c r="H28" s="19" t="str">
        <x:v>次</x:v>
      </x:c>
      <x:c r="I28" s="20" t="n">
        <x:v>0</x:v>
      </x:c>
      <x:c r="J28" s="20" t="n">
        <x:v>25</x:v>
      </x:c>
      <x:c r="K28" s="19" t="n">
        <x:v>2</x:v>
      </x:c>
      <x:c r="L28" s="19" t="str">
        <x:v>scored</x:v>
      </x:c>
      <x:c r="M28" s="19" t="str">
        <x:v>累计处罚代理不完全等同于单季度处罚次数。</x:v>
      </x:c>
    </x:row>
    <x:row r="29" ht="15" hidden="0" customHeight="1">
      <x:c r="A29" s="19" t="str">
        <x:v>燧原科技</x:v>
      </x:c>
      <x:c r="B29" s="19" t="str">
        <x:v>688801</x:v>
      </x:c>
      <x:c r="C29" s="20" t="n">
        <x:v>46.75</x:v>
      </x:c>
      <x:c r="D29" s="21" t="n">
        <x:v>0.5</x:v>
      </x:c>
      <x:c r="E29" s="19" t="str">
        <x:v>R11</x:v>
      </x:c>
      <x:c r="F29" s="19" t="str">
        <x:v>交易所问询次数</x:v>
      </x:c>
      <x:c r="G29" s="19"/>
      <x:c r="H29" s="19" t="str">
        <x:v>次</x:v>
      </x:c>
      <x:c r="I29" s="20"/>
      <x:c r="J29" s="20"/>
      <x:c r="K29" s="19" t="n">
        <x:v>0</x:v>
      </x:c>
      <x:c r="L29" s="19" t="str">
        <x:v>missing</x:v>
      </x:c>
      <x:c r="M29" s="19" t="str">
        <x:v>按同口径报告期问询主题数进行行业内比较。</x:v>
      </x:c>
    </x:row>
    <x:row r="30" ht="15" hidden="0" customHeight="1">
      <x:c r="A30" s="19" t="str">
        <x:v>燧原科技</x:v>
      </x:c>
      <x:c r="B30" s="19" t="str">
        <x:v>688801</x:v>
      </x:c>
      <x:c r="C30" s="20" t="n">
        <x:v>46.75</x:v>
      </x:c>
      <x:c r="D30" s="21" t="n">
        <x:v>0.5</x:v>
      </x:c>
      <x:c r="E30" s="19" t="str">
        <x:v>R12</x:v>
      </x:c>
      <x:c r="F30" s="19" t="str">
        <x:v>诉讼风险</x:v>
      </x:c>
      <x:c r="G30" s="19" t="n">
        <x:v>0</x:v>
      </x:c>
      <x:c r="H30" s="19" t="str">
        <x:v>件</x:v>
      </x:c>
      <x:c r="I30" s="20" t="n">
        <x:v>0.5</x:v>
      </x:c>
      <x:c r="J30" s="20" t="n">
        <x:v>50</x:v>
      </x:c>
      <x:c r="K30" s="19" t="n">
        <x:v>29</x:v>
      </x:c>
      <x:c r="L30" s="19" t="str">
        <x:v>scored</x:v>
      </x:c>
      <x:c r="M30" s="19" t="str">
        <x:v>不同来源分别比较案件总数、被告判决或重大诉讼披露，未统一金额占营收口径。</x:v>
      </x:c>
    </x:row>
    <x:row r="31" ht="15" hidden="0" customHeight="1">
      <x:c r="A31" s="19" t="str">
        <x:v>燧原科技</x:v>
      </x:c>
      <x:c r="B31" s="19" t="str">
        <x:v>688801</x:v>
      </x:c>
      <x:c r="C31" s="20" t="n">
        <x:v>46.75</x:v>
      </x:c>
      <x:c r="D31" s="21" t="n">
        <x:v>0.5</x:v>
      </x:c>
      <x:c r="E31" s="19" t="str">
        <x:v>R13</x:v>
      </x:c>
      <x:c r="F31" s="19" t="str">
        <x:v>营业收入增长率</x:v>
      </x:c>
      <x:c r="G31" s="19" t="n">
        <x:v>37.07</x:v>
      </x:c>
      <x:c r="H31" s="19" t="str">
        <x:v>%</x:v>
      </x:c>
      <x:c r="I31" s="20" t="n">
        <x:v>0.4</x:v>
      </x:c>
      <x:c r="J31" s="20" t="n">
        <x:v>45</x:v>
      </x:c>
      <x:c r="K31" s="19" t="n">
        <x:v>66</x:v>
      </x:c>
      <x:c r="L31" s="19" t="str">
        <x:v>scored</x:v>
      </x:c>
      <x:c r="M31" s="19" t="str">
        <x:v>使用最新可比报告期的营业收入同比增长率。</x:v>
      </x:c>
    </x:row>
    <x:row r="32" ht="15" hidden="0" customHeight="1">
      <x:c r="A32" s="19" t="str">
        <x:v>燧原科技</x:v>
      </x:c>
      <x:c r="B32" s="19" t="str">
        <x:v>688801</x:v>
      </x:c>
      <x:c r="C32" s="20" t="n">
        <x:v>46.75</x:v>
      </x:c>
      <x:c r="D32" s="21" t="n">
        <x:v>0.5</x:v>
      </x:c>
      <x:c r="E32" s="19" t="str">
        <x:v>R14</x:v>
      </x:c>
      <x:c r="F32" s="19" t="str">
        <x:v>无形资产减值风险</x:v>
      </x:c>
      <x:c r="G32" s="19" t="n">
        <x:v>2.6929</x:v>
      </x:c>
      <x:c r="H32" s="19" t="str">
        <x:v>%</x:v>
      </x:c>
      <x:c r="I32" s="20" t="n">
        <x:v>0.8462</x:v>
      </x:c>
      <x:c r="J32" s="20" t="n">
        <x:v>67.31</x:v>
      </x:c>
      <x:c r="K32" s="19" t="n">
        <x:v>14</x:v>
      </x:c>
      <x:c r="L32" s="19" t="str">
        <x:v>scored</x:v>
      </x:c>
      <x:c r="M32" s="19" t="str">
        <x:v>同口径比较无形资产占比变动或占比水平，不能替代正式减值测试。</x:v>
      </x:c>
    </x:row>
    <x:row r="33" ht="15" hidden="0" customHeight="1">
      <x:c r="A33" s="19" t="str">
        <x:v>燧原科技</x:v>
      </x:c>
      <x:c r="B33" s="19" t="str">
        <x:v>688801</x:v>
      </x:c>
      <x:c r="C33" s="20" t="n">
        <x:v>46.75</x:v>
      </x:c>
      <x:c r="D33" s="21" t="n">
        <x:v>0.5</x:v>
      </x:c>
      <x:c r="E33" s="19" t="str">
        <x:v>R15</x:v>
      </x:c>
      <x:c r="F33" s="19" t="str">
        <x:v>融资成本</x:v>
      </x:c>
      <x:c r="G33" s="19" t="n">
        <x:v>15389300</x:v>
      </x:c>
      <x:c r="H33" s="19" t="str">
        <x:v>元</x:v>
      </x:c>
      <x:c r="I33" s="20" t="n">
        <x:v>1</x:v>
      </x:c>
      <x:c r="J33" s="20" t="n">
        <x:v>75</x:v>
      </x:c>
      <x:c r="K33" s="19" t="n">
        <x:v>10</x:v>
      </x:c>
      <x:c r="L33" s="19" t="str">
        <x:v>scored</x:v>
      </x:c>
      <x:c r="M33" s="19" t="str">
        <x:v>债务成本率与利息支出分别在同口径样本内排名，未形成完整WACC。</x:v>
      </x:c>
    </x:row>
    <x:row r="34" ht="15" hidden="0" customHeight="1">
      <x:c r="A34" s="19" t="str">
        <x:v>燧原科技</x:v>
      </x:c>
      <x:c r="B34" s="19" t="str">
        <x:v>688801</x:v>
      </x:c>
      <x:c r="C34" s="20" t="n">
        <x:v>46.75</x:v>
      </x:c>
      <x:c r="D34" s="21" t="n">
        <x:v>0.5</x:v>
      </x:c>
      <x:c r="E34" s="19" t="str">
        <x:v>R16</x:v>
      </x:c>
      <x:c r="F34" s="19" t="str">
        <x:v>经营现金流与短期偿债压力</x:v>
      </x:c>
      <x:c r="G34" s="19" t="n">
        <x:v>-4.47698</x:v>
      </x:c>
      <x:c r="H34" s="19" t="str">
        <x:v>倍</x:v>
      </x:c>
      <x:c r="I34" s="20" t="n">
        <x:v>0.8833</x:v>
      </x:c>
      <x:c r="J34" s="20" t="n">
        <x:v>69.16</x:v>
      </x:c>
      <x:c r="K34" s="19" t="n">
        <x:v>61</x:v>
      </x:c>
      <x:c r="L34" s="19" t="str">
        <x:v>scored</x:v>
      </x:c>
      <x:c r="M34" s="19" t="str">
        <x:v>优先使用经营现金流短债覆盖率，缺失时使用现金短债比。</x:v>
      </x:c>
    </x:row>
    <x:row r="35" ht="15" hidden="0" customHeight="1">
      <x:c r="A35" s="19" t="str">
        <x:v>燧原科技</x:v>
      </x:c>
      <x:c r="B35" s="19" t="str">
        <x:v>688801</x:v>
      </x:c>
      <x:c r="C35" s="20" t="n">
        <x:v>46.75</x:v>
      </x:c>
      <x:c r="D35" s="21" t="n">
        <x:v>0.5</x:v>
      </x:c>
      <x:c r="E35" s="19" t="str">
        <x:v>R17</x:v>
      </x:c>
      <x:c r="F35" s="19" t="str">
        <x:v>关键供应链进口依赖度</x:v>
      </x:c>
      <x:c r="G35" s="19"/>
      <x:c r="H35" s="19" t="str">
        <x:v>家</x:v>
      </x:c>
      <x:c r="I35" s="20"/>
      <x:c r="J35" s="20"/>
      <x:c r="K35" s="19" t="n">
        <x:v>0</x:v>
      </x:c>
      <x:c r="L35" s="19" t="str">
        <x:v>missing</x:v>
      </x:c>
      <x:c r="M35" s="19" t="str">
        <x:v>以已核验境内供应商数代理，样本较小且注册地不等于生产国。</x:v>
      </x:c>
    </x:row>
    <x:row r="36" ht="15" hidden="0" customHeight="1">
      <x:c r="A36" s="19" t="str">
        <x:v>燧原科技</x:v>
      </x:c>
      <x:c r="B36" s="19" t="str">
        <x:v>688801</x:v>
      </x:c>
      <x:c r="C36" s="20" t="n">
        <x:v>46.75</x:v>
      </x:c>
      <x:c r="D36" s="21" t="n">
        <x:v>0.5</x:v>
      </x:c>
      <x:c r="E36" s="19" t="str">
        <x:v>R18</x:v>
      </x:c>
      <x:c r="F36" s="19" t="str">
        <x:v>海外业务收入占比</x:v>
      </x:c>
      <x:c r="G36" s="19"/>
      <x:c r="H36" s="19" t="str">
        <x:v>%</x:v>
      </x:c>
      <x:c r="I36" s="20"/>
      <x:c r="J36" s="20"/>
      <x:c r="K36" s="19" t="n">
        <x:v>0</x:v>
      </x:c>
      <x:c r="L36" s="19" t="str">
        <x:v>missing</x:v>
      </x:c>
      <x:c r="M36" s="19" t="str">
        <x:v>海外收入暴露不等同于实际损失，需与管制命中联合解释。</x:v>
      </x:c>
    </x:row>
    <x:row r="37" ht="15" hidden="0" customHeight="1">
      <x:c r="A37" s="19" t="str">
        <x:v>燧原科技</x:v>
      </x:c>
      <x:c r="B37" s="19" t="str">
        <x:v>688801</x:v>
      </x:c>
      <x:c r="C37" s="20" t="n">
        <x:v>46.75</x:v>
      </x:c>
      <x:c r="D37" s="21" t="n">
        <x:v>0.5</x:v>
      </x:c>
      <x:c r="E37" s="19" t="str">
        <x:v>R19</x:v>
      </x:c>
      <x:c r="F37" s="19" t="str">
        <x:v>出口管制与制裁暴露度</x:v>
      </x:c>
      <x:c r="G37" s="19"/>
      <x:c r="H37" s="19" t="str">
        <x:v>类清单</x:v>
      </x:c>
      <x:c r="I37" s="20"/>
      <x:c r="J37" s="20"/>
      <x:c r="K37" s="19" t="n">
        <x:v>0</x:v>
      </x:c>
      <x:c r="L37" s="19" t="str">
        <x:v>missing</x:v>
      </x:c>
      <x:c r="M37" s="19" t="str">
        <x:v>合并美国CSL与欧盟FSD精确命中数；尚缺BOM/ECCN影响比例和集团穿透。</x:v>
      </x:c>
    </x:row>
    <x:row r="38" ht="15" hidden="0" customHeight="1">
      <x:c r="A38" s="19" t="str">
        <x:v>燧原科技</x:v>
      </x:c>
      <x:c r="B38" s="19" t="str">
        <x:v>688801</x:v>
      </x:c>
      <x:c r="C38" s="20" t="n">
        <x:v>46.75</x:v>
      </x:c>
      <x:c r="D38" s="21" t="n">
        <x:v>0.5</x:v>
      </x:c>
      <x:c r="E38" s="19" t="str">
        <x:v>R20</x:v>
      </x:c>
      <x:c r="F38" s="19" t="str">
        <x:v>控制权稀释与稳定性</x:v>
      </x:c>
      <x:c r="G38" s="19"/>
      <x:c r="H38" s="19" t="str">
        <x:v>%</x:v>
      </x:c>
      <x:c r="I38" s="20"/>
      <x:c r="J38" s="20"/>
      <x:c r="K38" s="19" t="n">
        <x:v>0</x:v>
      </x:c>
      <x:c r="L38" s="19" t="str">
        <x:v>missing</x:v>
      </x:c>
      <x:c r="M38" s="19" t="str">
        <x:v>以可获得的最大控制人持股比例代理，尚缺表决权协议和一致行动关系。</x:v>
      </x:c>
    </x:row>
    <x:row r="39" ht="15" hidden="0" customHeight="1">
      <x:c r="A39" s="19" t="str">
        <x:v>燧原科技</x:v>
      </x:c>
      <x:c r="B39" s="19" t="str">
        <x:v>688801</x:v>
      </x:c>
      <x:c r="C39" s="20" t="n">
        <x:v>46.75</x:v>
      </x:c>
      <x:c r="D39" s="21" t="n">
        <x:v>0.5</x:v>
      </x:c>
      <x:c r="E39" s="19" t="str">
        <x:v>R21</x:v>
      </x:c>
      <x:c r="F39" s="19" t="str">
        <x:v>高管关联风险暴露度</x:v>
      </x:c>
      <x:c r="G39" s="19"/>
      <x:c r="H39" s="19" t="str">
        <x:v>条</x:v>
      </x:c>
      <x:c r="I39" s="20"/>
      <x:c r="J39" s="20"/>
      <x:c r="K39" s="19" t="n">
        <x:v>0</x:v>
      </x:c>
      <x:c r="L39" s="19" t="str">
        <x:v>missing</x:v>
      </x:c>
      <x:c r="M39" s="19" t="str">
        <x:v>以企业/境内主体风险聚合代理高管关联暴露，关联风险不等于人员本人违法。</x:v>
      </x:c>
    </x:row>
    <x:row r="40" ht="15" hidden="0" customHeight="1">
      <x:c r="A40" s="19" t="str">
        <x:v>燧原科技</x:v>
      </x:c>
      <x:c r="B40" s="19" t="str">
        <x:v>688801</x:v>
      </x:c>
      <x:c r="C40" s="20" t="n">
        <x:v>46.75</x:v>
      </x:c>
      <x:c r="D40" s="21" t="n">
        <x:v>0.5</x:v>
      </x:c>
      <x:c r="E40" s="19" t="str">
        <x:v>R22</x:v>
      </x:c>
      <x:c r="F40" s="19" t="str">
        <x:v>关键管理与技术人员稳定性</x:v>
      </x:c>
      <x:c r="G40" s="19"/>
      <x:c r="H40" s="19" t="str">
        <x:v>人/事件</x:v>
      </x:c>
      <x:c r="I40" s="20"/>
      <x:c r="J40" s="20"/>
      <x:c r="K40" s="19" t="n">
        <x:v>0</x:v>
      </x:c>
      <x:c r="L40" s="19" t="str">
        <x:v>missing</x:v>
      </x:c>
      <x:c r="M40" s="19" t="str">
        <x:v>以核心技术人员离职/变更事件数代理流失率，尚缺统一期初人数分母。</x:v>
      </x:c>
    </x:row>
    <x:row r="41" ht="15" hidden="0" customHeight="1">
      <x:c r="A41" s="19" t="str">
        <x:v>华微电子</x:v>
      </x:c>
      <x:c r="B41" s="19" t="str">
        <x:v>600360</x:v>
      </x:c>
      <x:c r="C41" s="20" t="n">
        <x:v>61.83</x:v>
      </x:c>
      <x:c r="D41" s="21" t="n">
        <x:v>0.4444</x:v>
      </x:c>
      <x:c r="E41" s="19" t="str">
        <x:v>R05</x:v>
      </x:c>
      <x:c r="F41" s="19" t="str">
        <x:v>技术先进性—专利质量</x:v>
      </x:c>
      <x:c r="G41" s="19" t="n">
        <x:v>139</x:v>
      </x:c>
      <x:c r="H41" s="19" t="str">
        <x:v>项</x:v>
      </x:c>
      <x:c r="I41" s="20" t="n">
        <x:v>0.6786</x:v>
      </x:c>
      <x:c r="J41" s="20" t="n">
        <x:v>58.93</x:v>
      </x:c>
      <x:c r="K41" s="19" t="n">
        <x:v>29</x:v>
      </x:c>
      <x:c r="L41" s="19" t="str">
        <x:v>scored</x:v>
      </x:c>
      <x:c r="M41" s="19" t="str">
        <x:v>当前使用有效/授权/专利存量代理，尚缺专利族、去自引前向引用和IPC年份标准化。</x:v>
      </x:c>
    </x:row>
    <x:row r="42" ht="15" hidden="0" customHeight="1">
      <x:c r="A42" s="19" t="str">
        <x:v>华微电子</x:v>
      </x:c>
      <x:c r="B42" s="19" t="str">
        <x:v>600360</x:v>
      </x:c>
      <x:c r="C42" s="20" t="n">
        <x:v>61.83</x:v>
      </x:c>
      <x:c r="D42" s="21" t="n">
        <x:v>0.4444</x:v>
      </x:c>
      <x:c r="E42" s="19" t="str">
        <x:v>R06</x:v>
      </x:c>
      <x:c r="F42" s="19" t="str">
        <x:v>核心技术人员占比</x:v>
      </x:c>
      <x:c r="G42" s="19" t="n">
        <x:v>30.11</x:v>
      </x:c>
      <x:c r="H42" s="19" t="str">
        <x:v>%</x:v>
      </x:c>
      <x:c r="I42" s="20" t="n">
        <x:v>0.9692</x:v>
      </x:c>
      <x:c r="J42" s="20" t="n">
        <x:v>73.46</x:v>
      </x:c>
      <x:c r="K42" s="19" t="n">
        <x:v>66</x:v>
      </x:c>
      <x:c r="L42" s="19" t="str">
        <x:v>scored</x:v>
      </x:c>
      <x:c r="M42" s="19" t="str">
        <x:v>以研发人员占比作为核心技术人员占比的统一代理。</x:v>
      </x:c>
    </x:row>
    <x:row r="43" ht="15" hidden="0" customHeight="1">
      <x:c r="A43" s="19" t="str">
        <x:v>华微电子</x:v>
      </x:c>
      <x:c r="B43" s="19" t="str">
        <x:v>600360</x:v>
      </x:c>
      <x:c r="C43" s="20" t="n">
        <x:v>61.83</x:v>
      </x:c>
      <x:c r="D43" s="21" t="n">
        <x:v>0.4444</x:v>
      </x:c>
      <x:c r="E43" s="19" t="str">
        <x:v>R07</x:v>
      </x:c>
      <x:c r="F43" s="19" t="str">
        <x:v>研发投入强度与趋势</x:v>
      </x:c>
      <x:c r="G43" s="19" t="n">
        <x:v>5.39</x:v>
      </x:c>
      <x:c r="H43" s="19" t="str">
        <x:v>%</x:v>
      </x:c>
      <x:c r="I43" s="20" t="n">
        <x:v>0.9846</x:v>
      </x:c>
      <x:c r="J43" s="20" t="n">
        <x:v>74.23</x:v>
      </x:c>
      <x:c r="K43" s="19" t="n">
        <x:v>66</x:v>
      </x:c>
      <x:c r="L43" s="19" t="str">
        <x:v>scored</x:v>
      </x:c>
      <x:c r="M43" s="19" t="str">
        <x:v>以最新研发投入强度做横截面基准，趋势信息作为后续解释。</x:v>
      </x:c>
    </x:row>
    <x:row r="44" ht="15" hidden="0" customHeight="1">
      <x:c r="A44" s="19" t="str">
        <x:v>华微电子</x:v>
      </x:c>
      <x:c r="B44" s="19" t="str">
        <x:v>600360</x:v>
      </x:c>
      <x:c r="C44" s="20" t="n">
        <x:v>61.83</x:v>
      </x:c>
      <x:c r="D44" s="21" t="n">
        <x:v>0.4444</x:v>
      </x:c>
      <x:c r="E44" s="19" t="str">
        <x:v>R08</x:v>
      </x:c>
      <x:c r="F44" s="19" t="str">
        <x:v>研发/募投里程碑兑现度</x:v>
      </x:c>
      <x:c r="G44" s="19"/>
      <x:c r="H44" s="19" t="str">
        <x:v>次</x:v>
      </x:c>
      <x:c r="I44" s="20"/>
      <x:c r="J44" s="20"/>
      <x:c r="K44" s="19" t="n">
        <x:v>0</x:v>
      </x:c>
      <x:c r="L44" s="19" t="str">
        <x:v>missing</x:v>
      </x:c>
      <x:c r="M44" s="19" t="str">
        <x:v>以延期、负面或变更事件数代理未兑现程度，未获得统一加权兑现率。</x:v>
      </x:c>
    </x:row>
    <x:row r="45" ht="15" hidden="0" customHeight="1">
      <x:c r="A45" s="19" t="str">
        <x:v>华微电子</x:v>
      </x:c>
      <x:c r="B45" s="19" t="str">
        <x:v>600360</x:v>
      </x:c>
      <x:c r="C45" s="20" t="n">
        <x:v>61.83</x:v>
      </x:c>
      <x:c r="D45" s="21" t="n">
        <x:v>0.4444</x:v>
      </x:c>
      <x:c r="E45" s="19" t="str">
        <x:v>R09</x:v>
      </x:c>
      <x:c r="F45" s="19" t="str">
        <x:v>重大技术与知识产权事件</x:v>
      </x:c>
      <x:c r="G45" s="19"/>
      <x:c r="H45" s="19" t="str">
        <x:v>项</x:v>
      </x:c>
      <x:c r="I45" s="20"/>
      <x:c r="J45" s="20"/>
      <x:c r="K45" s="19" t="n">
        <x:v>0</x:v>
      </x:c>
      <x:c r="L45" s="19" t="str">
        <x:v>missing</x:v>
      </x:c>
      <x:c r="M45" s="19" t="str">
        <x:v>不利状态和质量事件是事件数量代理，未建立损失、责任与时间系数。</x:v>
      </x:c>
    </x:row>
    <x:row r="46" ht="15" hidden="0" customHeight="1">
      <x:c r="A46" s="19" t="str">
        <x:v>华微电子</x:v>
      </x:c>
      <x:c r="B46" s="19" t="str">
        <x:v>600360</x:v>
      </x:c>
      <x:c r="C46" s="20" t="n">
        <x:v>61.83</x:v>
      </x:c>
      <x:c r="D46" s="21" t="n">
        <x:v>0.4444</x:v>
      </x:c>
      <x:c r="E46" s="19" t="str">
        <x:v>R10</x:v>
      </x:c>
      <x:c r="F46" s="19" t="str">
        <x:v>监管处罚次数</x:v>
      </x:c>
      <x:c r="G46" s="19" t="n">
        <x:v>1</x:v>
      </x:c>
      <x:c r="H46" s="19" t="str">
        <x:v>次</x:v>
      </x:c>
      <x:c r="I46" s="20" t="n">
        <x:v>1</x:v>
      </x:c>
      <x:c r="J46" s="20" t="n">
        <x:v>75</x:v>
      </x:c>
      <x:c r="K46" s="19" t="n">
        <x:v>2</x:v>
      </x:c>
      <x:c r="L46" s="19" t="str">
        <x:v>scored</x:v>
      </x:c>
      <x:c r="M46" s="19" t="str">
        <x:v>累计处罚代理不完全等同于单季度处罚次数。</x:v>
      </x:c>
    </x:row>
    <x:row r="47" ht="15" hidden="0" customHeight="1">
      <x:c r="A47" s="19" t="str">
        <x:v>华微电子</x:v>
      </x:c>
      <x:c r="B47" s="19" t="str">
        <x:v>600360</x:v>
      </x:c>
      <x:c r="C47" s="20" t="n">
        <x:v>61.83</x:v>
      </x:c>
      <x:c r="D47" s="21" t="n">
        <x:v>0.4444</x:v>
      </x:c>
      <x:c r="E47" s="19" t="str">
        <x:v>R11</x:v>
      </x:c>
      <x:c r="F47" s="19" t="str">
        <x:v>交易所问询次数</x:v>
      </x:c>
      <x:c r="G47" s="19"/>
      <x:c r="H47" s="19" t="str">
        <x:v>次</x:v>
      </x:c>
      <x:c r="I47" s="20"/>
      <x:c r="J47" s="20"/>
      <x:c r="K47" s="19" t="n">
        <x:v>0</x:v>
      </x:c>
      <x:c r="L47" s="19" t="str">
        <x:v>missing</x:v>
      </x:c>
      <x:c r="M47" s="19" t="str">
        <x:v>按同口径报告期问询主题数进行行业内比较。</x:v>
      </x:c>
    </x:row>
    <x:row r="48" ht="15" hidden="0" customHeight="1">
      <x:c r="A48" s="19" t="str">
        <x:v>华微电子</x:v>
      </x:c>
      <x:c r="B48" s="19" t="str">
        <x:v>600360</x:v>
      </x:c>
      <x:c r="C48" s="20" t="n">
        <x:v>61.83</x:v>
      </x:c>
      <x:c r="D48" s="21" t="n">
        <x:v>0.4444</x:v>
      </x:c>
      <x:c r="E48" s="19" t="str">
        <x:v>R12</x:v>
      </x:c>
      <x:c r="F48" s="19" t="str">
        <x:v>诉讼风险</x:v>
      </x:c>
      <x:c r="G48" s="19" t="n">
        <x:v>0</x:v>
      </x:c>
      <x:c r="H48" s="19" t="str">
        <x:v>件</x:v>
      </x:c>
      <x:c r="I48" s="20" t="n">
        <x:v>0.5</x:v>
      </x:c>
      <x:c r="J48" s="20" t="n">
        <x:v>50</x:v>
      </x:c>
      <x:c r="K48" s="19" t="n">
        <x:v>29</x:v>
      </x:c>
      <x:c r="L48" s="19" t="str">
        <x:v>scored</x:v>
      </x:c>
      <x:c r="M48" s="19" t="str">
        <x:v>不同来源分别比较案件总数、被告判决或重大诉讼披露，未统一金额占营收口径。</x:v>
      </x:c>
    </x:row>
    <x:row r="49" ht="15" hidden="0" customHeight="1">
      <x:c r="A49" s="19" t="str">
        <x:v>华微电子</x:v>
      </x:c>
      <x:c r="B49" s="19" t="str">
        <x:v>600360</x:v>
      </x:c>
      <x:c r="C49" s="20" t="n">
        <x:v>61.83</x:v>
      </x:c>
      <x:c r="D49" s="21" t="n">
        <x:v>0.4444</x:v>
      </x:c>
      <x:c r="E49" s="19" t="str">
        <x:v>R13</x:v>
      </x:c>
      <x:c r="F49" s="19" t="str">
        <x:v>营业收入增长率</x:v>
      </x:c>
      <x:c r="G49" s="19" t="n">
        <x:v>-11.62</x:v>
      </x:c>
      <x:c r="H49" s="19" t="str">
        <x:v>%</x:v>
      </x:c>
      <x:c r="I49" s="20" t="n">
        <x:v>0.8923</x:v>
      </x:c>
      <x:c r="J49" s="20" t="n">
        <x:v>69.62</x:v>
      </x:c>
      <x:c r="K49" s="19" t="n">
        <x:v>66</x:v>
      </x:c>
      <x:c r="L49" s="19" t="str">
        <x:v>scored</x:v>
      </x:c>
      <x:c r="M49" s="19" t="str">
        <x:v>使用最新可比报告期的营业收入同比增长率。</x:v>
      </x:c>
    </x:row>
    <x:row r="50" ht="15" hidden="0" customHeight="1">
      <x:c r="A50" s="19" t="str">
        <x:v>华微电子</x:v>
      </x:c>
      <x:c r="B50" s="19" t="str">
        <x:v>600360</x:v>
      </x:c>
      <x:c r="C50" s="20" t="n">
        <x:v>61.83</x:v>
      </x:c>
      <x:c r="D50" s="21" t="n">
        <x:v>0.4444</x:v>
      </x:c>
      <x:c r="E50" s="19" t="str">
        <x:v>R14</x:v>
      </x:c>
      <x:c r="F50" s="19" t="str">
        <x:v>无形资产减值风险</x:v>
      </x:c>
      <x:c r="G50" s="19" t="n">
        <x:v>1.5591</x:v>
      </x:c>
      <x:c r="H50" s="19" t="str">
        <x:v>%</x:v>
      </x:c>
      <x:c r="I50" s="20" t="n">
        <x:v>0.6154</x:v>
      </x:c>
      <x:c r="J50" s="20" t="n">
        <x:v>55.77</x:v>
      </x:c>
      <x:c r="K50" s="19" t="n">
        <x:v>14</x:v>
      </x:c>
      <x:c r="L50" s="19" t="str">
        <x:v>scored</x:v>
      </x:c>
      <x:c r="M50" s="19" t="str">
        <x:v>同口径比较无形资产占比变动或占比水平，不能替代正式减值测试。</x:v>
      </x:c>
    </x:row>
    <x:row r="51" ht="15" hidden="0" customHeight="1">
      <x:c r="A51" s="19" t="str">
        <x:v>华微电子</x:v>
      </x:c>
      <x:c r="B51" s="19" t="str">
        <x:v>600360</x:v>
      </x:c>
      <x:c r="C51" s="20" t="n">
        <x:v>61.83</x:v>
      </x:c>
      <x:c r="D51" s="21" t="n">
        <x:v>0.4444</x:v>
      </x:c>
      <x:c r="E51" s="19" t="str">
        <x:v>R15</x:v>
      </x:c>
      <x:c r="F51" s="19" t="str">
        <x:v>融资成本</x:v>
      </x:c>
      <x:c r="G51" s="19"/>
      <x:c r="H51" s="19" t="str">
        <x:v>%/元</x:v>
      </x:c>
      <x:c r="I51" s="20"/>
      <x:c r="J51" s="20"/>
      <x:c r="K51" s="19" t="n">
        <x:v>0</x:v>
      </x:c>
      <x:c r="L51" s="19" t="str">
        <x:v>missing</x:v>
      </x:c>
      <x:c r="M51" s="19" t="str">
        <x:v>债务成本率与利息支出分别在同口径样本内排名，未形成完整WACC。</x:v>
      </x:c>
    </x:row>
    <x:row r="52" ht="15" hidden="0" customHeight="1">
      <x:c r="A52" s="19" t="str">
        <x:v>华微电子</x:v>
      </x:c>
      <x:c r="B52" s="19" t="str">
        <x:v>600360</x:v>
      </x:c>
      <x:c r="C52" s="20" t="n">
        <x:v>61.83</x:v>
      </x:c>
      <x:c r="D52" s="21" t="n">
        <x:v>0.4444</x:v>
      </x:c>
      <x:c r="E52" s="19" t="str">
        <x:v>R16</x:v>
      </x:c>
      <x:c r="F52" s="19" t="str">
        <x:v>经营现金流与短期偿债压力</x:v>
      </x:c>
      <x:c r="G52" s="19" t="n">
        <x:v>0.4382</x:v>
      </x:c>
      <x:c r="H52" s="19" t="str">
        <x:v>倍</x:v>
      </x:c>
      <x:c r="I52" s="20" t="n">
        <x:v>0.2667</x:v>
      </x:c>
      <x:c r="J52" s="20" t="n">
        <x:v>38.33</x:v>
      </x:c>
      <x:c r="K52" s="19" t="n">
        <x:v>61</x:v>
      </x:c>
      <x:c r="L52" s="19" t="str">
        <x:v>scored</x:v>
      </x:c>
      <x:c r="M52" s="19" t="str">
        <x:v>优先使用经营现金流短债覆盖率，缺失时使用现金短债比。</x:v>
      </x:c>
    </x:row>
    <x:row r="53" ht="15" hidden="0" customHeight="1">
      <x:c r="A53" s="19" t="str">
        <x:v>华微电子</x:v>
      </x:c>
      <x:c r="B53" s="19" t="str">
        <x:v>600360</x:v>
      </x:c>
      <x:c r="C53" s="20" t="n">
        <x:v>61.83</x:v>
      </x:c>
      <x:c r="D53" s="21" t="n">
        <x:v>0.4444</x:v>
      </x:c>
      <x:c r="E53" s="19" t="str">
        <x:v>R17</x:v>
      </x:c>
      <x:c r="F53" s="19" t="str">
        <x:v>关键供应链进口依赖度</x:v>
      </x:c>
      <x:c r="G53" s="19"/>
      <x:c r="H53" s="19" t="str">
        <x:v>家</x:v>
      </x:c>
      <x:c r="I53" s="20"/>
      <x:c r="J53" s="20"/>
      <x:c r="K53" s="19" t="n">
        <x:v>0</x:v>
      </x:c>
      <x:c r="L53" s="19" t="str">
        <x:v>missing</x:v>
      </x:c>
      <x:c r="M53" s="19" t="str">
        <x:v>以已核验境内供应商数代理，样本较小且注册地不等于生产国。</x:v>
      </x:c>
    </x:row>
    <x:row r="54" ht="15" hidden="0" customHeight="1">
      <x:c r="A54" s="19" t="str">
        <x:v>华微电子</x:v>
      </x:c>
      <x:c r="B54" s="19" t="str">
        <x:v>600360</x:v>
      </x:c>
      <x:c r="C54" s="20" t="n">
        <x:v>61.83</x:v>
      </x:c>
      <x:c r="D54" s="21" t="n">
        <x:v>0.4444</x:v>
      </x:c>
      <x:c r="E54" s="19" t="str">
        <x:v>R18</x:v>
      </x:c>
      <x:c r="F54" s="19" t="str">
        <x:v>海外业务收入占比</x:v>
      </x:c>
      <x:c r="G54" s="19"/>
      <x:c r="H54" s="19" t="str">
        <x:v>%</x:v>
      </x:c>
      <x:c r="I54" s="20"/>
      <x:c r="J54" s="20"/>
      <x:c r="K54" s="19" t="n">
        <x:v>0</x:v>
      </x:c>
      <x:c r="L54" s="19" t="str">
        <x:v>missing</x:v>
      </x:c>
      <x:c r="M54" s="19" t="str">
        <x:v>海外收入暴露不等同于实际损失，需与管制命中联合解释。</x:v>
      </x:c>
    </x:row>
    <x:row r="55" ht="15" hidden="0" customHeight="1">
      <x:c r="A55" s="19" t="str">
        <x:v>华微电子</x:v>
      </x:c>
      <x:c r="B55" s="19" t="str">
        <x:v>600360</x:v>
      </x:c>
      <x:c r="C55" s="20" t="n">
        <x:v>61.83</x:v>
      </x:c>
      <x:c r="D55" s="21" t="n">
        <x:v>0.4444</x:v>
      </x:c>
      <x:c r="E55" s="19" t="str">
        <x:v>R19</x:v>
      </x:c>
      <x:c r="F55" s="19" t="str">
        <x:v>出口管制与制裁暴露度</x:v>
      </x:c>
      <x:c r="G55" s="19"/>
      <x:c r="H55" s="19" t="str">
        <x:v>类清单</x:v>
      </x:c>
      <x:c r="I55" s="20"/>
      <x:c r="J55" s="20"/>
      <x:c r="K55" s="19" t="n">
        <x:v>0</x:v>
      </x:c>
      <x:c r="L55" s="19" t="str">
        <x:v>missing</x:v>
      </x:c>
      <x:c r="M55" s="19" t="str">
        <x:v>合并美国CSL与欧盟FSD精确命中数；尚缺BOM/ECCN影响比例和集团穿透。</x:v>
      </x:c>
    </x:row>
    <x:row r="56" ht="15" hidden="0" customHeight="1">
      <x:c r="A56" s="19" t="str">
        <x:v>华微电子</x:v>
      </x:c>
      <x:c r="B56" s="19" t="str">
        <x:v>600360</x:v>
      </x:c>
      <x:c r="C56" s="20" t="n">
        <x:v>61.83</x:v>
      </x:c>
      <x:c r="D56" s="21" t="n">
        <x:v>0.4444</x:v>
      </x:c>
      <x:c r="E56" s="19" t="str">
        <x:v>R20</x:v>
      </x:c>
      <x:c r="F56" s="19" t="str">
        <x:v>控制权稀释与稳定性</x:v>
      </x:c>
      <x:c r="G56" s="19"/>
      <x:c r="H56" s="19" t="str">
        <x:v>%</x:v>
      </x:c>
      <x:c r="I56" s="20"/>
      <x:c r="J56" s="20"/>
      <x:c r="K56" s="19" t="n">
        <x:v>0</x:v>
      </x:c>
      <x:c r="L56" s="19" t="str">
        <x:v>missing</x:v>
      </x:c>
      <x:c r="M56" s="19" t="str">
        <x:v>以可获得的最大控制人持股比例代理，尚缺表决权协议和一致行动关系。</x:v>
      </x:c>
    </x:row>
    <x:row r="57" ht="15" hidden="0" customHeight="1">
      <x:c r="A57" s="19" t="str">
        <x:v>华微电子</x:v>
      </x:c>
      <x:c r="B57" s="19" t="str">
        <x:v>600360</x:v>
      </x:c>
      <x:c r="C57" s="20" t="n">
        <x:v>61.83</x:v>
      </x:c>
      <x:c r="D57" s="21" t="n">
        <x:v>0.4444</x:v>
      </x:c>
      <x:c r="E57" s="19" t="str">
        <x:v>R21</x:v>
      </x:c>
      <x:c r="F57" s="19" t="str">
        <x:v>高管关联风险暴露度</x:v>
      </x:c>
      <x:c r="G57" s="19"/>
      <x:c r="H57" s="19" t="str">
        <x:v>条</x:v>
      </x:c>
      <x:c r="I57" s="20"/>
      <x:c r="J57" s="20"/>
      <x:c r="K57" s="19" t="n">
        <x:v>0</x:v>
      </x:c>
      <x:c r="L57" s="19" t="str">
        <x:v>missing</x:v>
      </x:c>
      <x:c r="M57" s="19" t="str">
        <x:v>以企业/境内主体风险聚合代理高管关联暴露，关联风险不等于人员本人违法。</x:v>
      </x:c>
    </x:row>
    <x:row r="58" ht="15" hidden="0" customHeight="1">
      <x:c r="A58" s="19" t="str">
        <x:v>华微电子</x:v>
      </x:c>
      <x:c r="B58" s="19" t="str">
        <x:v>600360</x:v>
      </x:c>
      <x:c r="C58" s="20" t="n">
        <x:v>61.83</x:v>
      </x:c>
      <x:c r="D58" s="21" t="n">
        <x:v>0.4444</x:v>
      </x:c>
      <x:c r="E58" s="19" t="str">
        <x:v>R22</x:v>
      </x:c>
      <x:c r="F58" s="19" t="str">
        <x:v>关键管理与技术人员稳定性</x:v>
      </x:c>
      <x:c r="G58" s="19"/>
      <x:c r="H58" s="19" t="str">
        <x:v>人/事件</x:v>
      </x:c>
      <x:c r="I58" s="20"/>
      <x:c r="J58" s="20"/>
      <x:c r="K58" s="19" t="n">
        <x:v>0</x:v>
      </x:c>
      <x:c r="L58" s="19" t="str">
        <x:v>missing</x:v>
      </x:c>
      <x:c r="M58" s="19" t="str">
        <x:v>以核心技术人员离职/变更事件数代理流失率，尚缺统一期初人数分母。</x:v>
      </x:c>
    </x:row>
    <x:row r="59" ht="15" hidden="0" customHeight="1">
      <x:c r="A59" s="19" t="str">
        <x:v>恒瑞医药</x:v>
      </x:c>
      <x:c r="B59" s="19" t="str">
        <x:v>600276</x:v>
      </x:c>
      <x:c r="C59" s="20" t="n">
        <x:v>41.15</x:v>
      </x:c>
      <x:c r="D59" s="21" t="n">
        <x:v>0.3889</x:v>
      </x:c>
      <x:c r="E59" s="19" t="str">
        <x:v>R05</x:v>
      </x:c>
      <x:c r="F59" s="19" t="str">
        <x:v>技术先进性—专利质量</x:v>
      </x:c>
      <x:c r="G59" s="19" t="n">
        <x:v>2007</x:v>
      </x:c>
      <x:c r="H59" s="19" t="str">
        <x:v>项</x:v>
      </x:c>
      <x:c r="I59" s="20" t="n">
        <x:v>0</x:v>
      </x:c>
      <x:c r="J59" s="20" t="n">
        <x:v>25</x:v>
      </x:c>
      <x:c r="K59" s="19" t="n">
        <x:v>26</x:v>
      </x:c>
      <x:c r="L59" s="19" t="str">
        <x:v>scored</x:v>
      </x:c>
      <x:c r="M59" s="19" t="str">
        <x:v>当前使用有效/授权/专利存量代理，尚缺专利族、去自引前向引用和IPC年份标准化。</x:v>
      </x:c>
    </x:row>
    <x:row r="60" ht="15" hidden="0" customHeight="1">
      <x:c r="A60" s="19" t="str">
        <x:v>恒瑞医药</x:v>
      </x:c>
      <x:c r="B60" s="19" t="str">
        <x:v>600276</x:v>
      </x:c>
      <x:c r="C60" s="20" t="n">
        <x:v>41.15</x:v>
      </x:c>
      <x:c r="D60" s="21" t="n">
        <x:v>0.3889</x:v>
      </x:c>
      <x:c r="E60" s="19" t="str">
        <x:v>R06</x:v>
      </x:c>
      <x:c r="F60" s="19" t="str">
        <x:v>核心技术人员占比</x:v>
      </x:c>
      <x:c r="G60" s="19" t="n">
        <x:v>27.59</x:v>
      </x:c>
      <x:c r="H60" s="19" t="str">
        <x:v>%</x:v>
      </x:c>
      <x:c r="I60" s="20" t="n">
        <x:v>0.6</x:v>
      </x:c>
      <x:c r="J60" s="20" t="n">
        <x:v>55</x:v>
      </x:c>
      <x:c r="K60" s="19" t="n">
        <x:v>26</x:v>
      </x:c>
      <x:c r="L60" s="19" t="str">
        <x:v>scored</x:v>
      </x:c>
      <x:c r="M60" s="19" t="str">
        <x:v>以研发人员占比作为核心技术人员占比的统一代理。</x:v>
      </x:c>
    </x:row>
    <x:row r="61" ht="15" hidden="0" customHeight="1">
      <x:c r="A61" s="19" t="str">
        <x:v>恒瑞医药</x:v>
      </x:c>
      <x:c r="B61" s="19" t="str">
        <x:v>600276</x:v>
      </x:c>
      <x:c r="C61" s="20" t="n">
        <x:v>41.15</x:v>
      </x:c>
      <x:c r="D61" s="21" t="n">
        <x:v>0.3889</x:v>
      </x:c>
      <x:c r="E61" s="19" t="str">
        <x:v>R07</x:v>
      </x:c>
      <x:c r="F61" s="19" t="str">
        <x:v>研发投入强度与趋势</x:v>
      </x:c>
      <x:c r="G61" s="19" t="n">
        <x:v>27.58</x:v>
      </x:c>
      <x:c r="H61" s="19" t="str">
        <x:v>%</x:v>
      </x:c>
      <x:c r="I61" s="20" t="n">
        <x:v>0</x:v>
      </x:c>
      <x:c r="J61" s="20" t="n">
        <x:v>25</x:v>
      </x:c>
      <x:c r="K61" s="19" t="n">
        <x:v>25</x:v>
      </x:c>
      <x:c r="L61" s="19" t="str">
        <x:v>scored</x:v>
      </x:c>
      <x:c r="M61" s="19" t="str">
        <x:v>以最新研发投入强度做横截面基准，趋势信息作为后续解释。</x:v>
      </x:c>
    </x:row>
    <x:row r="62" ht="15" hidden="0" customHeight="1">
      <x:c r="A62" s="19" t="str">
        <x:v>恒瑞医药</x:v>
      </x:c>
      <x:c r="B62" s="19" t="str">
        <x:v>600276</x:v>
      </x:c>
      <x:c r="C62" s="20" t="n">
        <x:v>41.15</x:v>
      </x:c>
      <x:c r="D62" s="21" t="n">
        <x:v>0.3889</x:v>
      </x:c>
      <x:c r="E62" s="19" t="str">
        <x:v>R08</x:v>
      </x:c>
      <x:c r="F62" s="19" t="str">
        <x:v>研发/募投里程碑兑现度</x:v>
      </x:c>
      <x:c r="G62" s="19"/>
      <x:c r="H62" s="19" t="str">
        <x:v>次</x:v>
      </x:c>
      <x:c r="I62" s="20"/>
      <x:c r="J62" s="20"/>
      <x:c r="K62" s="19" t="n">
        <x:v>0</x:v>
      </x:c>
      <x:c r="L62" s="19" t="str">
        <x:v>missing</x:v>
      </x:c>
      <x:c r="M62" s="19" t="str">
        <x:v>以延期、负面或变更事件数代理未兑现程度，未获得统一加权兑现率。</x:v>
      </x:c>
    </x:row>
    <x:row r="63" ht="15" hidden="0" customHeight="1">
      <x:c r="A63" s="19" t="str">
        <x:v>恒瑞医药</x:v>
      </x:c>
      <x:c r="B63" s="19" t="str">
        <x:v>600276</x:v>
      </x:c>
      <x:c r="C63" s="20" t="n">
        <x:v>41.15</x:v>
      </x:c>
      <x:c r="D63" s="21" t="n">
        <x:v>0.3889</x:v>
      </x:c>
      <x:c r="E63" s="19" t="str">
        <x:v>R09</x:v>
      </x:c>
      <x:c r="F63" s="19" t="str">
        <x:v>重大技术与知识产权事件</x:v>
      </x:c>
      <x:c r="G63" s="19"/>
      <x:c r="H63" s="19" t="str">
        <x:v>项</x:v>
      </x:c>
      <x:c r="I63" s="20"/>
      <x:c r="J63" s="20"/>
      <x:c r="K63" s="19" t="n">
        <x:v>0</x:v>
      </x:c>
      <x:c r="L63" s="19" t="str">
        <x:v>missing</x:v>
      </x:c>
      <x:c r="M63" s="19" t="str">
        <x:v>不利状态和质量事件是事件数量代理，未建立损失、责任与时间系数。</x:v>
      </x:c>
    </x:row>
    <x:row r="64" ht="15" hidden="0" customHeight="1">
      <x:c r="A64" s="19" t="str">
        <x:v>恒瑞医药</x:v>
      </x:c>
      <x:c r="B64" s="19" t="str">
        <x:v>600276</x:v>
      </x:c>
      <x:c r="C64" s="20" t="n">
        <x:v>41.15</x:v>
      </x:c>
      <x:c r="D64" s="21" t="n">
        <x:v>0.3889</x:v>
      </x:c>
      <x:c r="E64" s="19" t="str">
        <x:v>R10</x:v>
      </x:c>
      <x:c r="F64" s="19" t="str">
        <x:v>监管处罚次数</x:v>
      </x:c>
      <x:c r="G64" s="19" t="n">
        <x:v>0</x:v>
      </x:c>
      <x:c r="H64" s="19" t="str">
        <x:v>次</x:v>
      </x:c>
      <x:c r="I64" s="20"/>
      <x:c r="J64" s="20"/>
      <x:c r="K64" s="19" t="n">
        <x:v>1</x:v>
      </x:c>
      <x:c r="L64" s="19" t="str">
        <x:v>missing</x:v>
      </x:c>
      <x:c r="M64" s="19" t="str">
        <x:v>累计处罚代理不完全等同于单季度处罚次数。</x:v>
      </x:c>
    </x:row>
    <x:row r="65" ht="15" hidden="0" customHeight="1">
      <x:c r="A65" s="19" t="str">
        <x:v>恒瑞医药</x:v>
      </x:c>
      <x:c r="B65" s="19" t="str">
        <x:v>600276</x:v>
      </x:c>
      <x:c r="C65" s="20" t="n">
        <x:v>41.15</x:v>
      </x:c>
      <x:c r="D65" s="21" t="n">
        <x:v>0.3889</x:v>
      </x:c>
      <x:c r="E65" s="19" t="str">
        <x:v>R11</x:v>
      </x:c>
      <x:c r="F65" s="19" t="str">
        <x:v>交易所问询次数</x:v>
      </x:c>
      <x:c r="G65" s="19"/>
      <x:c r="H65" s="19" t="str">
        <x:v>次</x:v>
      </x:c>
      <x:c r="I65" s="20"/>
      <x:c r="J65" s="20"/>
      <x:c r="K65" s="19" t="n">
        <x:v>0</x:v>
      </x:c>
      <x:c r="L65" s="19" t="str">
        <x:v>missing</x:v>
      </x:c>
      <x:c r="M65" s="19" t="str">
        <x:v>按同口径报告期问询主题数进行行业内比较。</x:v>
      </x:c>
    </x:row>
    <x:row r="66" ht="15" hidden="0" customHeight="1">
      <x:c r="A66" s="19" t="str">
        <x:v>恒瑞医药</x:v>
      </x:c>
      <x:c r="B66" s="19" t="str">
        <x:v>600276</x:v>
      </x:c>
      <x:c r="C66" s="20" t="n">
        <x:v>41.15</x:v>
      </x:c>
      <x:c r="D66" s="21" t="n">
        <x:v>0.3889</x:v>
      </x:c>
      <x:c r="E66" s="19" t="str">
        <x:v>R12</x:v>
      </x:c>
      <x:c r="F66" s="19" t="str">
        <x:v>诉讼风险</x:v>
      </x:c>
      <x:c r="G66" s="19" t="n">
        <x:v>0</x:v>
      </x:c>
      <x:c r="H66" s="19" t="str">
        <x:v>件</x:v>
      </x:c>
      <x:c r="I66" s="20"/>
      <x:c r="J66" s="20"/>
      <x:c r="K66" s="19" t="n">
        <x:v>1</x:v>
      </x:c>
      <x:c r="L66" s="19" t="str">
        <x:v>missing</x:v>
      </x:c>
      <x:c r="M66" s="19" t="str">
        <x:v>不同来源分别比较案件总数、被告判决或重大诉讼披露，未统一金额占营收口径。</x:v>
      </x:c>
    </x:row>
    <x:row r="67" ht="15" hidden="0" customHeight="1">
      <x:c r="A67" s="19" t="str">
        <x:v>恒瑞医药</x:v>
      </x:c>
      <x:c r="B67" s="19" t="str">
        <x:v>600276</x:v>
      </x:c>
      <x:c r="C67" s="20" t="n">
        <x:v>41.15</x:v>
      </x:c>
      <x:c r="D67" s="21" t="n">
        <x:v>0.3889</x:v>
      </x:c>
      <x:c r="E67" s="19" t="str">
        <x:v>R13</x:v>
      </x:c>
      <x:c r="F67" s="19" t="str">
        <x:v>营业收入增长率</x:v>
      </x:c>
      <x:c r="G67" s="19" t="n">
        <x:v>13.02</x:v>
      </x:c>
      <x:c r="H67" s="19" t="str">
        <x:v>%</x:v>
      </x:c>
      <x:c r="I67" s="20" t="n">
        <x:v>0.0417</x:v>
      </x:c>
      <x:c r="J67" s="20" t="n">
        <x:v>27.08</x:v>
      </x:c>
      <x:c r="K67" s="19" t="n">
        <x:v>25</x:v>
      </x:c>
      <x:c r="L67" s="19" t="str">
        <x:v>scored</x:v>
      </x:c>
      <x:c r="M67" s="19" t="str">
        <x:v>使用最新可比报告期的营业收入同比增长率。</x:v>
      </x:c>
    </x:row>
    <x:row r="68" ht="15" hidden="0" customHeight="1">
      <x:c r="A68" s="19" t="str">
        <x:v>恒瑞医药</x:v>
      </x:c>
      <x:c r="B68" s="19" t="str">
        <x:v>600276</x:v>
      </x:c>
      <x:c r="C68" s="20" t="n">
        <x:v>41.15</x:v>
      </x:c>
      <x:c r="D68" s="21" t="n">
        <x:v>0.3889</x:v>
      </x:c>
      <x:c r="E68" s="19" t="str">
        <x:v>R14</x:v>
      </x:c>
      <x:c r="F68" s="19" t="str">
        <x:v>无形资产减值风险</x:v>
      </x:c>
      <x:c r="G68" s="19" t="n">
        <x:v>2.8002</x:v>
      </x:c>
      <x:c r="H68" s="19" t="str">
        <x:v>%</x:v>
      </x:c>
      <x:c r="I68" s="20" t="n">
        <x:v>1</x:v>
      </x:c>
      <x:c r="J68" s="20" t="n">
        <x:v>75</x:v>
      </x:c>
      <x:c r="K68" s="19" t="n">
        <x:v>26</x:v>
      </x:c>
      <x:c r="L68" s="19" t="str">
        <x:v>scored</x:v>
      </x:c>
      <x:c r="M68" s="19" t="str">
        <x:v>同口径比较无形资产占比变动或占比水平，不能替代正式减值测试。</x:v>
      </x:c>
    </x:row>
    <x:row r="69" ht="15" hidden="0" customHeight="1">
      <x:c r="A69" s="19" t="str">
        <x:v>恒瑞医药</x:v>
      </x:c>
      <x:c r="B69" s="19" t="str">
        <x:v>600276</x:v>
      </x:c>
      <x:c r="C69" s="20" t="n">
        <x:v>41.15</x:v>
      </x:c>
      <x:c r="D69" s="21" t="n">
        <x:v>0.3889</x:v>
      </x:c>
      <x:c r="E69" s="19" t="str">
        <x:v>R15</x:v>
      </x:c>
      <x:c r="F69" s="19" t="str">
        <x:v>融资成本</x:v>
      </x:c>
      <x:c r="G69" s="19"/>
      <x:c r="H69" s="19" t="str">
        <x:v>%/元</x:v>
      </x:c>
      <x:c r="I69" s="20"/>
      <x:c r="J69" s="20"/>
      <x:c r="K69" s="19" t="n">
        <x:v>0</x:v>
      </x:c>
      <x:c r="L69" s="19" t="str">
        <x:v>missing</x:v>
      </x:c>
      <x:c r="M69" s="19" t="str">
        <x:v>债务成本率与利息支出分别在同口径样本内排名，未形成完整WACC。</x:v>
      </x:c>
    </x:row>
    <x:row r="70" ht="15" hidden="0" customHeight="1">
      <x:c r="A70" s="19" t="str">
        <x:v>恒瑞医药</x:v>
      </x:c>
      <x:c r="B70" s="19" t="str">
        <x:v>600276</x:v>
      </x:c>
      <x:c r="C70" s="20" t="n">
        <x:v>41.15</x:v>
      </x:c>
      <x:c r="D70" s="21" t="n">
        <x:v>0.3889</x:v>
      </x:c>
      <x:c r="E70" s="19" t="str">
        <x:v>R16</x:v>
      </x:c>
      <x:c r="F70" s="19" t="str">
        <x:v>经营现金流与短期偿债压力</x:v>
      </x:c>
      <x:c r="G70" s="19" t="n">
        <x:v>363.313</x:v>
      </x:c>
      <x:c r="H70" s="19" t="str">
        <x:v>倍</x:v>
      </x:c>
      <x:c r="I70" s="20" t="n">
        <x:v>0.12</x:v>
      </x:c>
      <x:c r="J70" s="20" t="n">
        <x:v>31</x:v>
      </x:c>
      <x:c r="K70" s="19" t="n">
        <x:v>26</x:v>
      </x:c>
      <x:c r="L70" s="19" t="str">
        <x:v>scored</x:v>
      </x:c>
      <x:c r="M70" s="19" t="str">
        <x:v>优先使用经营现金流短债覆盖率，缺失时使用现金短债比。</x:v>
      </x:c>
    </x:row>
    <x:row r="71" ht="15" hidden="0" customHeight="1">
      <x:c r="A71" s="19" t="str">
        <x:v>恒瑞医药</x:v>
      </x:c>
      <x:c r="B71" s="19" t="str">
        <x:v>600276</x:v>
      </x:c>
      <x:c r="C71" s="20" t="n">
        <x:v>41.15</x:v>
      </x:c>
      <x:c r="D71" s="21" t="n">
        <x:v>0.3889</x:v>
      </x:c>
      <x:c r="E71" s="19" t="str">
        <x:v>R17</x:v>
      </x:c>
      <x:c r="F71" s="19" t="str">
        <x:v>关键供应链进口依赖度</x:v>
      </x:c>
      <x:c r="G71" s="19"/>
      <x:c r="H71" s="19" t="str">
        <x:v>家</x:v>
      </x:c>
      <x:c r="I71" s="20"/>
      <x:c r="J71" s="20"/>
      <x:c r="K71" s="19" t="n">
        <x:v>0</x:v>
      </x:c>
      <x:c r="L71" s="19" t="str">
        <x:v>missing</x:v>
      </x:c>
      <x:c r="M71" s="19" t="str">
        <x:v>以已核验境内供应商数代理，样本较小且注册地不等于生产国。</x:v>
      </x:c>
    </x:row>
    <x:row r="72" ht="15" hidden="0" customHeight="1">
      <x:c r="A72" s="19" t="str">
        <x:v>恒瑞医药</x:v>
      </x:c>
      <x:c r="B72" s="19" t="str">
        <x:v>600276</x:v>
      </x:c>
      <x:c r="C72" s="20" t="n">
        <x:v>41.15</x:v>
      </x:c>
      <x:c r="D72" s="21" t="n">
        <x:v>0.3889</x:v>
      </x:c>
      <x:c r="E72" s="19" t="str">
        <x:v>R18</x:v>
      </x:c>
      <x:c r="F72" s="19" t="str">
        <x:v>海外业务收入占比</x:v>
      </x:c>
      <x:c r="G72" s="19" t="n">
        <x:v>4.261</x:v>
      </x:c>
      <x:c r="H72" s="19" t="str">
        <x:v>%</x:v>
      </x:c>
      <x:c r="I72" s="20" t="n">
        <x:v>0.3636</x:v>
      </x:c>
      <x:c r="J72" s="20" t="n">
        <x:v>43.18</x:v>
      </x:c>
      <x:c r="K72" s="19" t="n">
        <x:v>12</x:v>
      </x:c>
      <x:c r="L72" s="19" t="str">
        <x:v>scored</x:v>
      </x:c>
      <x:c r="M72" s="19" t="str">
        <x:v>海外收入暴露不等同于实际损失，需与管制命中联合解释。</x:v>
      </x:c>
    </x:row>
    <x:row r="73" ht="15" hidden="0" customHeight="1">
      <x:c r="A73" s="19" t="str">
        <x:v>恒瑞医药</x:v>
      </x:c>
      <x:c r="B73" s="19" t="str">
        <x:v>600276</x:v>
      </x:c>
      <x:c r="C73" s="20" t="n">
        <x:v>41.15</x:v>
      </x:c>
      <x:c r="D73" s="21" t="n">
        <x:v>0.3889</x:v>
      </x:c>
      <x:c r="E73" s="19" t="str">
        <x:v>R19</x:v>
      </x:c>
      <x:c r="F73" s="19" t="str">
        <x:v>出口管制与制裁暴露度</x:v>
      </x:c>
      <x:c r="G73" s="19"/>
      <x:c r="H73" s="19" t="str">
        <x:v>类清单</x:v>
      </x:c>
      <x:c r="I73" s="20"/>
      <x:c r="J73" s="20"/>
      <x:c r="K73" s="19" t="n">
        <x:v>0</x:v>
      </x:c>
      <x:c r="L73" s="19" t="str">
        <x:v>missing</x:v>
      </x:c>
      <x:c r="M73" s="19" t="str">
        <x:v>合并美国CSL与欧盟FSD精确命中数；尚缺BOM/ECCN影响比例和集团穿透。</x:v>
      </x:c>
    </x:row>
    <x:row r="74" ht="15" hidden="0" customHeight="1">
      <x:c r="A74" s="19" t="str">
        <x:v>恒瑞医药</x:v>
      </x:c>
      <x:c r="B74" s="19" t="str">
        <x:v>600276</x:v>
      </x:c>
      <x:c r="C74" s="20" t="n">
        <x:v>41.15</x:v>
      </x:c>
      <x:c r="D74" s="21" t="n">
        <x:v>0.3889</x:v>
      </x:c>
      <x:c r="E74" s="19" t="str">
        <x:v>R20</x:v>
      </x:c>
      <x:c r="F74" s="19" t="str">
        <x:v>控制权稀释与稳定性</x:v>
      </x:c>
      <x:c r="G74" s="19"/>
      <x:c r="H74" s="19" t="str">
        <x:v>%</x:v>
      </x:c>
      <x:c r="I74" s="20"/>
      <x:c r="J74" s="20"/>
      <x:c r="K74" s="19" t="n">
        <x:v>0</x:v>
      </x:c>
      <x:c r="L74" s="19" t="str">
        <x:v>missing</x:v>
      </x:c>
      <x:c r="M74" s="19" t="str">
        <x:v>以可获得的最大控制人持股比例代理，尚缺表决权协议和一致行动关系。</x:v>
      </x:c>
    </x:row>
    <x:row r="75" ht="15" hidden="0" customHeight="1">
      <x:c r="A75" s="19" t="str">
        <x:v>恒瑞医药</x:v>
      </x:c>
      <x:c r="B75" s="19" t="str">
        <x:v>600276</x:v>
      </x:c>
      <x:c r="C75" s="20" t="n">
        <x:v>41.15</x:v>
      </x:c>
      <x:c r="D75" s="21" t="n">
        <x:v>0.3889</x:v>
      </x:c>
      <x:c r="E75" s="19" t="str">
        <x:v>R21</x:v>
      </x:c>
      <x:c r="F75" s="19" t="str">
        <x:v>高管关联风险暴露度</x:v>
      </x:c>
      <x:c r="G75" s="19"/>
      <x:c r="H75" s="19" t="str">
        <x:v>条</x:v>
      </x:c>
      <x:c r="I75" s="20"/>
      <x:c r="J75" s="20"/>
      <x:c r="K75" s="19" t="n">
        <x:v>0</x:v>
      </x:c>
      <x:c r="L75" s="19" t="str">
        <x:v>missing</x:v>
      </x:c>
      <x:c r="M75" s="19" t="str">
        <x:v>以企业/境内主体风险聚合代理高管关联暴露，关联风险不等于人员本人违法。</x:v>
      </x:c>
    </x:row>
    <x:row r="76" ht="15" hidden="0" customHeight="1">
      <x:c r="A76" s="19" t="str">
        <x:v>恒瑞医药</x:v>
      </x:c>
      <x:c r="B76" s="19" t="str">
        <x:v>600276</x:v>
      </x:c>
      <x:c r="C76" s="20" t="n">
        <x:v>41.15</x:v>
      </x:c>
      <x:c r="D76" s="21" t="n">
        <x:v>0.3889</x:v>
      </x:c>
      <x:c r="E76" s="19" t="str">
        <x:v>R22</x:v>
      </x:c>
      <x:c r="F76" s="19" t="str">
        <x:v>关键管理与技术人员稳定性</x:v>
      </x:c>
      <x:c r="G76" s="19"/>
      <x:c r="H76" s="19" t="str">
        <x:v>人/事件</x:v>
      </x:c>
      <x:c r="I76" s="20"/>
      <x:c r="J76" s="20"/>
      <x:c r="K76" s="19" t="n">
        <x:v>0</x:v>
      </x:c>
      <x:c r="L76" s="19" t="str">
        <x:v>missing</x:v>
      </x:c>
      <x:c r="M76" s="19" t="str">
        <x:v>以核心技术人员离职/变更事件数代理流失率，尚缺统一期初人数分母。</x:v>
      </x:c>
    </x:row>
  </x:sheetData>
  <x:mergeCells>
    <x:mergeCell ref="A1:M2"/>
    <x:mergeCell ref="A3:M3"/>
  </x:mergeCells>
  <x:conditionalFormatting sqref="J5:J76">
    <x:cfRule type="colorScale" priority="1">
      <x:colorScale>
        <x:cfvo type="min"/>
        <x:cfvo type="percentile" val="50"/>
        <x:cfvo type="max"/>
        <x:color rgb="FFE2F0D9"/>
        <x:color rgb="FFFFF2CC"/>
        <x:color rgb="FFFCE4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4bb9eeeeac545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13" hidden="0" customWidth="1"/>
    <x:col min="4" max="4" width="18" hidden="0" customWidth="1"/>
    <x:col min="5" max="5" width="50" hidden="0" customWidth="1"/>
    <x:col min="6" max="6" width="24" hidden="0" customWidth="1"/>
    <x:col min="7" max="7" width="20" hidden="0" customWidth="1"/>
    <x:col min="8" max="8" width="14" hidden="0" customWidth="1"/>
    <x:col min="9" max="9" width="13" hidden="0" customWidth="1"/>
    <x:col min="10" max="10" width="58" hidden="0" customWidth="1"/>
    <x:col min="11" max="11" width="58" hidden="0" customWidth="1"/>
    <x:col min="12" max="12" width="64" hidden="0" customWidth="1"/>
    <x:col min="13" max="13" width="66" hidden="0" customWidth="1"/>
    <x:col min="14" max="14" width="11" hidden="0" customWidth="1"/>
    <x:col min="15" max="15" width="26" hidden="0" customWidth="1"/>
    <x:col min="16" max="16" width="11" hidden="0" customWidth="1"/>
    <x:col min="17" max="17" width="12" hidden="0" customWidth="1"/>
    <x:col min="18" max="18" width="42" hidden="0" customWidth="1"/>
  </x:cols>
  <x:sheetData>
    <x:row r="1" ht="34" customHeight="1">
      <x:c r="A1" s="3" t="str">
        <x:v>标准化来源台账（542行，含517个R01–R04唯一来源）</x:v>
      </x:c>
      <x:c r="B1" s="3" t="str">
        <x:v>标准化来源台账（542行，含517个R01–R04唯一来源）</x:v>
      </x:c>
      <x:c r="C1" s="3" t="str">
        <x:v>标准化来源台账（542行，含517个R01–R04唯一来源）</x:v>
      </x:c>
      <x:c r="D1" s="3" t="str">
        <x:v>标准化来源台账（542行，含517个R01–R04唯一来源）</x:v>
      </x:c>
      <x:c r="E1" s="3" t="str">
        <x:v>标准化来源台账（542行，含517个R01–R04唯一来源）</x:v>
      </x:c>
      <x:c r="F1" s="3" t="str">
        <x:v>标准化来源台账（542行，含517个R01–R04唯一来源）</x:v>
      </x:c>
      <x:c r="G1" s="3" t="str">
        <x:v>标准化来源台账（542行，含517个R01–R04唯一来源）</x:v>
      </x:c>
      <x:c r="H1" s="3" t="str">
        <x:v>标准化来源台账（542行，含517个R01–R04唯一来源）</x:v>
      </x:c>
      <x:c r="I1" s="3" t="str">
        <x:v>标准化来源台账（542行，含517个R01–R04唯一来源）</x:v>
      </x:c>
      <x:c r="J1" s="3" t="str">
        <x:v>标准化来源台账（542行，含517个R01–R04唯一来源）</x:v>
      </x:c>
      <x:c r="K1" s="3" t="str">
        <x:v>标准化来源台账（542行，含517个R01–R04唯一来源）</x:v>
      </x:c>
      <x:c r="L1" s="3" t="str">
        <x:v>标准化来源台账（542行，含517个R01–R04唯一来源）</x:v>
      </x:c>
      <x:c r="M1" s="3" t="str">
        <x:v>标准化来源台账（542行，含517个R01–R04唯一来源）</x:v>
      </x:c>
      <x:c r="N1" s="3" t="str">
        <x:v>标准化来源台账（542行，含517个R01–R04唯一来源）</x:v>
      </x:c>
      <x:c r="O1" s="3" t="str">
        <x:v>标准化来源台账（542行，含517个R01–R04唯一来源）</x:v>
      </x:c>
      <x:c r="P1" s="3" t="str">
        <x:v>标准化来源台账（542行，含517个R01–R04唯一来源）</x:v>
      </x:c>
      <x:c r="Q1" s="3" t="str">
        <x:v>标准化来源台账（542行，含517个R01–R04唯一来源）</x:v>
      </x:c>
      <x:c r="R1" s="3" t="str">
        <x:v>标准化来源台账（542行，含517个R01–R04唯一来源）</x:v>
      </x:c>
    </x:row>
    <x:row r="2" ht="34" customHeight="1">
      <x:c r="A2" s="3" t="str">
        <x:v>标准化来源台账（542行，含517个R01–R04唯一来源）</x:v>
      </x:c>
      <x:c r="B2" s="3" t="str">
        <x:v>标准化来源台账（542行，含517个R01–R04唯一来源）</x:v>
      </x:c>
      <x:c r="C2" s="3" t="str">
        <x:v>标准化来源台账（542行，含517个R01–R04唯一来源）</x:v>
      </x:c>
      <x:c r="D2" s="3" t="str">
        <x:v>标准化来源台账（542行，含517个R01–R04唯一来源）</x:v>
      </x:c>
      <x:c r="E2" s="3" t="str">
        <x:v>标准化来源台账（542行，含517个R01–R04唯一来源）</x:v>
      </x:c>
      <x:c r="F2" s="3" t="str">
        <x:v>标准化来源台账（542行，含517个R01–R04唯一来源）</x:v>
      </x:c>
      <x:c r="G2" s="3" t="str">
        <x:v>标准化来源台账（542行，含517个R01–R04唯一来源）</x:v>
      </x:c>
      <x:c r="H2" s="3" t="str">
        <x:v>标准化来源台账（542行，含517个R01–R04唯一来源）</x:v>
      </x:c>
      <x:c r="I2" s="3" t="str">
        <x:v>标准化来源台账（542行，含517个R01–R04唯一来源）</x:v>
      </x:c>
      <x:c r="J2" s="3" t="str">
        <x:v>标准化来源台账（542行，含517个R01–R04唯一来源）</x:v>
      </x:c>
      <x:c r="K2" s="3" t="str">
        <x:v>标准化来源台账（542行，含517个R01–R04唯一来源）</x:v>
      </x:c>
      <x:c r="L2" s="3" t="str">
        <x:v>标准化来源台账（542行，含517个R01–R04唯一来源）</x:v>
      </x:c>
      <x:c r="M2" s="3" t="str">
        <x:v>标准化来源台账（542行，含517个R01–R04唯一来源）</x:v>
      </x:c>
      <x:c r="N2" s="3" t="str">
        <x:v>标准化来源台账（542行，含517个R01–R04唯一来源）</x:v>
      </x:c>
      <x:c r="O2" s="3" t="str">
        <x:v>标准化来源台账（542行，含517个R01–R04唯一来源）</x:v>
      </x:c>
      <x:c r="P2" s="3" t="str">
        <x:v>标准化来源台账（542行，含517个R01–R04唯一来源）</x:v>
      </x:c>
      <x:c r="Q2" s="3" t="str">
        <x:v>标准化来源台账（542行，含517个R01–R04唯一来源）</x:v>
      </x:c>
      <x:c r="R2" s="3" t="str">
        <x:v>标准化来源台账（542行，含517个R01–R04唯一来源）</x:v>
      </x:c>
    </x:row>
    <x:row r="3" ht="30" customHeight="1">
      <x:c r="A3" s="6" t="str">
        <x:v>重复来源ID以raw occurrence保留，不复制为多个标准化来源；validated URL来自Ego补链。当前附件未包含113个本地证据文件，因此local file status均如实记录。 </x:v>
      </x:c>
      <x:c r="B3" s="6" t="str">
        <x:v>重复来源ID以raw occurrence保留，不复制为多个标准化来源；validated URL来自Ego补链。当前附件未包含113个本地证据文件，因此local file status均如实记录。 </x:v>
      </x:c>
      <x:c r="C3" s="6" t="str">
        <x:v>重复来源ID以raw occurrence保留，不复制为多个标准化来源；validated URL来自Ego补链。当前附件未包含113个本地证据文件，因此local file status均如实记录。 </x:v>
      </x:c>
      <x:c r="D3" s="6" t="str">
        <x:v>重复来源ID以raw occurrence保留，不复制为多个标准化来源；validated URL来自Ego补链。当前附件未包含113个本地证据文件，因此local file status均如实记录。 </x:v>
      </x:c>
      <x:c r="E3" s="6" t="str">
        <x:v>重复来源ID以raw occurrence保留，不复制为多个标准化来源；validated URL来自Ego补链。当前附件未包含113个本地证据文件，因此local file status均如实记录。 </x:v>
      </x:c>
      <x:c r="F3" s="6" t="str">
        <x:v>重复来源ID以raw occurrence保留，不复制为多个标准化来源；validated URL来自Ego补链。当前附件未包含113个本地证据文件，因此local file status均如实记录。 </x:v>
      </x:c>
      <x:c r="G3" s="6" t="str">
        <x:v>重复来源ID以raw occurrence保留，不复制为多个标准化来源；validated URL来自Ego补链。当前附件未包含113个本地证据文件，因此local file status均如实记录。 </x:v>
      </x:c>
      <x:c r="H3" s="6" t="str">
        <x:v>重复来源ID以raw occurrence保留，不复制为多个标准化来源；validated URL来自Ego补链。当前附件未包含113个本地证据文件，因此local file status均如实记录。 </x:v>
      </x:c>
      <x:c r="I3" s="6" t="str">
        <x:v>重复来源ID以raw occurrence保留，不复制为多个标准化来源；validated URL来自Ego补链。当前附件未包含113个本地证据文件，因此local file status均如实记录。 </x:v>
      </x:c>
      <x:c r="J3" s="6" t="str">
        <x:v>重复来源ID以raw occurrence保留，不复制为多个标准化来源；validated URL来自Ego补链。当前附件未包含113个本地证据文件，因此local file status均如实记录。 </x:v>
      </x:c>
      <x:c r="K3" s="6" t="str">
        <x:v>重复来源ID以raw occurrence保留，不复制为多个标准化来源；validated URL来自Ego补链。当前附件未包含113个本地证据文件，因此local file status均如实记录。 </x:v>
      </x:c>
      <x:c r="L3" s="6" t="str">
        <x:v>重复来源ID以raw occurrence保留，不复制为多个标准化来源；validated URL来自Ego补链。当前附件未包含113个本地证据文件，因此local file status均如实记录。 </x:v>
      </x:c>
      <x:c r="M3" s="6" t="str">
        <x:v>重复来源ID以raw occurrence保留，不复制为多个标准化来源；validated URL来自Ego补链。当前附件未包含113个本地证据文件，因此local file status均如实记录。 </x:v>
      </x:c>
      <x:c r="N3" s="6" t="str">
        <x:v>重复来源ID以raw occurrence保留，不复制为多个标准化来源；validated URL来自Ego补链。当前附件未包含113个本地证据文件，因此local file status均如实记录。 </x:v>
      </x:c>
      <x:c r="O3" s="6" t="str">
        <x:v>重复来源ID以raw occurrence保留，不复制为多个标准化来源；validated URL来自Ego补链。当前附件未包含113个本地证据文件，因此local file status均如实记录。 </x:v>
      </x:c>
      <x:c r="P3" s="6" t="str">
        <x:v>重复来源ID以raw occurrence保留，不复制为多个标准化来源；validated URL来自Ego补链。当前附件未包含113个本地证据文件，因此local file status均如实记录。 </x:v>
      </x:c>
      <x:c r="Q3" s="6" t="str">
        <x:v>重复来源ID以raw occurrence保留，不复制为多个标准化来源；validated URL来自Ego补链。当前附件未包含113个本地证据文件，因此local file status均如实记录。 </x:v>
      </x:c>
      <x:c r="R3" s="6" t="str">
        <x:v>重复来源ID以raw occurrence保留，不复制为多个标准化来源；validated URL来自Ego补链。当前附件未包含113个本地证据文件，因此local file status均如实记录。 </x:v>
      </x:c>
    </x:row>
    <x:row r="4" ht="15" hidden="0" customHeight="1">
      <x:c r="A4" s="15" t="str">
        <x:v>评估范围</x:v>
      </x:c>
      <x:c r="B4" s="15" t="str">
        <x:v>来源ID</x:v>
      </x:c>
      <x:c r="C4" s="15" t="str">
        <x:v>企业</x:v>
      </x:c>
      <x:c r="D4" s="15" t="str">
        <x:v>渠道</x:v>
      </x:c>
      <x:c r="E4" s="15" t="str">
        <x:v>标题</x:v>
      </x:c>
      <x:c r="F4" s="15" t="str">
        <x:v>机构/媒体</x:v>
      </x:c>
      <x:c r="G4" s="15" t="str">
        <x:v>规范化媒体</x:v>
      </x:c>
      <x:c r="H4" s="15" t="str">
        <x:v>作者</x:v>
      </x:c>
      <x:c r="I4" s="15" t="str">
        <x:v>发布日期</x:v>
      </x:c>
      <x:c r="J4" s="15" t="str">
        <x:v>原URL</x:v>
      </x:c>
      <x:c r="K4" s="15" t="str">
        <x:v>验证URL</x:v>
      </x:c>
      <x:c r="L4" s="15" t="str">
        <x:v>本地路径</x:v>
      </x:c>
      <x:c r="M4" s="15" t="str">
        <x:v>SHA256</x:v>
      </x:c>
      <x:c r="N4" s="15" t="str">
        <x:v>有效词数</x:v>
      </x:c>
      <x:c r="O4" s="15" t="str">
        <x:v>证据角色</x:v>
      </x:c>
      <x:c r="P4" s="15" t="str">
        <x:v>正式可用</x:v>
      </x:c>
      <x:c r="Q4" s="15" t="str">
        <x:v>原始出现次数</x:v>
      </x:c>
      <x:c r="R4" s="15" t="str">
        <x:v>验证状态</x:v>
      </x:c>
    </x:row>
    <x:row r="5" ht="21.600000381469727" hidden="0" customHeight="1">
      <x:c r="A5" s="19" t="str">
        <x:v>R01–R04审计</x:v>
      </x:c>
      <x:c r="B5" s="19" t="str">
        <x:v>cam-2025q3</x:v>
      </x:c>
      <x:c r="C5" s="19" t="str">
        <x:v>寒武纪</x:v>
      </x:c>
      <x:c r="D5" s="19" t="str">
        <x:v>正式报告</x:v>
      </x:c>
      <x:c r="E5" s="19" t="str">
        <x:v>寒武纪2025年第三季度报告</x:v>
      </x:c>
      <x:c r="F5" s="19" t="str">
        <x:v>证券交易所/上市公司</x:v>
      </x:c>
      <x:c r="G5" s="19"/>
      <x:c r="H5" s="19" t="str">
        <x:v>中科寒武纪科技股份有限公司</x:v>
      </x:c>
      <x:c r="I5" s="19" t="str">
        <x:v>2025-10-18</x:v>
      </x:c>
      <x:c r="J5" s="19" t="str">
        <x:v>https://www.sse.com.cn/disclosure/listedinfo/announcement/c/new/2025-10-18/688256_20251018_S0FQ.pdf</x:v>
      </x:c>
      <x:c r="K5" s="19" t="str">
        <x:v>https://www.sse.com.cn/disclosure/listedinfo/announcement/c/new/2025-10-18/688256_20251018_S0FQ.pdf</x:v>
      </x:c>
      <x:c r="L5" s="19" t="str">
        <x:v>data/derived/narrative-risk-r01-r04-20260826/evidence/official-reports/cambricon/cam-2025q3-寒武纪2025年第三季度报告.pdf</x:v>
      </x:c>
      <x:c r="M5" s="19" t="str">
        <x:v>e4642dbea7f58e7fa9a3f626aecedf37a95367379aaa7ba62d653c0cf086d1c0</x:v>
      </x:c>
      <x:c r="N5" s="19" t="n">
        <x:v>2375</x:v>
      </x:c>
      <x:c r="O5" s="19" t="str">
        <x:v>company-self-fulltext</x:v>
      </x:c>
      <x:c r="P5" s="33" t="b">
        <x:v>1</x:v>
      </x:c>
      <x:c r="Q5" s="19" t="n">
        <x:v>1</x:v>
      </x:c>
      <x:c r="R5" s="19" t="str">
        <x:v>browser-confirmed-local-file-unavailable</x:v>
      </x:c>
    </x:row>
    <x:row r="6" ht="21.600000381469727" hidden="0" customHeight="1">
      <x:c r="A6" s="19" t="str">
        <x:v>R01–R04审计</x:v>
      </x:c>
      <x:c r="B6" s="19" t="str">
        <x:v>cam-2025a</x:v>
      </x:c>
      <x:c r="C6" s="19" t="str">
        <x:v>寒武纪</x:v>
      </x:c>
      <x:c r="D6" s="19" t="str">
        <x:v>正式报告</x:v>
      </x:c>
      <x:c r="E6" s="19" t="str">
        <x:v>寒武纪2025年年度报告</x:v>
      </x:c>
      <x:c r="F6" s="19" t="str">
        <x:v>证券交易所/上市公司</x:v>
      </x:c>
      <x:c r="G6" s="19"/>
      <x:c r="H6" s="19" t="str">
        <x:v>中科寒武纪科技股份有限公司</x:v>
      </x:c>
      <x:c r="I6" s="19" t="str">
        <x:v>2026-03-13</x:v>
      </x:c>
      <x:c r="J6" s="19"/>
      <x:c r="K6" s="19" t="str">
        <x:v>https://static.cninfo.com.cn/finalpage/2026-03-13/1225007336.PDF</x:v>
      </x:c>
      <x:c r="L6" s="19" t="str">
        <x:v>data/raw/showcase4-20260826/cambricon/existing/寒武纪2025年年报.pdf</x:v>
      </x:c>
      <x:c r="M6" s="19" t="str">
        <x:v>e9360bfb6ad2d66ce7b65da15f8fa2fcdda9fde526e2a76dba3964327507f4ab</x:v>
      </x:c>
      <x:c r="N6" s="19" t="n">
        <x:v>54596</x:v>
      </x:c>
      <x:c r="O6" s="19" t="str">
        <x:v>company-self-fulltext</x:v>
      </x:c>
      <x:c r="P6" s="33" t="b">
        <x:v>1</x:v>
      </x:c>
      <x:c r="Q6" s="19" t="n">
        <x:v>1</x:v>
      </x:c>
      <x:c r="R6" s="19" t="str">
        <x:v>browser-confirmed-local-file-unavailable</x:v>
      </x:c>
    </x:row>
    <x:row r="7" ht="21.600000381469727" hidden="0" customHeight="1">
      <x:c r="A7" s="19" t="str">
        <x:v>R01–R04审计</x:v>
      </x:c>
      <x:c r="B7" s="19" t="str">
        <x:v>cam-2026q1</x:v>
      </x:c>
      <x:c r="C7" s="19" t="str">
        <x:v>寒武纪</x:v>
      </x:c>
      <x:c r="D7" s="19" t="str">
        <x:v>正式报告</x:v>
      </x:c>
      <x:c r="E7" s="19" t="str">
        <x:v>寒武纪2026年第一季度报告</x:v>
      </x:c>
      <x:c r="F7" s="19" t="str">
        <x:v>证券交易所/上市公司</x:v>
      </x:c>
      <x:c r="G7" s="19"/>
      <x:c r="H7" s="19" t="str">
        <x:v>中科寒武纪科技股份有限公司</x:v>
      </x:c>
      <x:c r="I7" s="19" t="str">
        <x:v>2026-04-30</x:v>
      </x:c>
      <x:c r="J7" s="19" t="str">
        <x:v>https://www.sse.com.cn/disclosure/listedinfo/announcement/c/new/2026-04-30/688256_20260430_I4ZK.pdf</x:v>
      </x:c>
      <x:c r="K7" s="19" t="str">
        <x:v>https://www.sse.com.cn/disclosure/listedinfo/announcement/c/new/2026-04-30/688256_20260430_I4ZK.pdf</x:v>
      </x:c>
      <x:c r="L7" s="19" t="str">
        <x:v>data/derived/narrative-risk-r01-r04-20260826/evidence/official-reports/cambricon/cam-2026q1-寒武纪2026年第一季度报告.pdf</x:v>
      </x:c>
      <x:c r="M7" s="19" t="str">
        <x:v>6aed917a6930c4ffc79d880ac0841c92e62aabc6684f4862129f48a91fed18d0</x:v>
      </x:c>
      <x:c r="N7" s="19" t="n">
        <x:v>2035</x:v>
      </x:c>
      <x:c r="O7" s="19" t="str">
        <x:v>company-self-fulltext</x:v>
      </x:c>
      <x:c r="P7" s="33" t="b">
        <x:v>1</x:v>
      </x:c>
      <x:c r="Q7" s="19" t="n">
        <x:v>1</x:v>
      </x:c>
      <x:c r="R7" s="19" t="str">
        <x:v>browser-confirmed-local-file-unavailable</x:v>
      </x:c>
    </x:row>
    <x:row r="8" ht="21.600000381469727" hidden="0" customHeight="1">
      <x:c r="A8" s="19" t="str">
        <x:v>R01–R04审计</x:v>
      </x:c>
      <x:c r="B8" s="19" t="str">
        <x:v>cam-2026h1</x:v>
      </x:c>
      <x:c r="C8" s="19" t="str">
        <x:v>寒武纪</x:v>
      </x:c>
      <x:c r="D8" s="19" t="str">
        <x:v>正式报告</x:v>
      </x:c>
      <x:c r="E8" s="19" t="str">
        <x:v>寒武纪2026年半年度报告</x:v>
      </x:c>
      <x:c r="F8" s="19" t="str">
        <x:v>证券交易所/上市公司</x:v>
      </x:c>
      <x:c r="G8" s="19"/>
      <x:c r="H8" s="19" t="str">
        <x:v>中科寒武纪科技股份有限公司</x:v>
      </x:c>
      <x:c r="I8" s="19" t="str">
        <x:v>2026-08-08</x:v>
      </x:c>
      <x:c r="J8" s="19" t="str">
        <x:v>https://www.sse.com.cn/disclosure/listedinfo/announcement/c/new/2026-08-08/688256_20260808_TUNG.pdf</x:v>
      </x:c>
      <x:c r="K8" s="19" t="str">
        <x:v>https://www.sse.com.cn/disclosure/listedinfo/announcement/c/new/2026-08-08/688256_20260808_TUNG.pdf</x:v>
      </x:c>
      <x:c r="L8" s="19" t="str">
        <x:v>data/derived/narrative-risk-r01-r04-20260826/evidence/official-reports/cambricon/cam-2026h1-寒武纪2026年半年度报告.pdf</x:v>
      </x:c>
      <x:c r="M8" s="19" t="str">
        <x:v>eda895e90e5bbc9976bce9e949b6d0e9aabdc33343c26dfa8b6aed0ed2e4a4b0</x:v>
      </x:c>
      <x:c r="N8" s="19" t="n">
        <x:v>40413</x:v>
      </x:c>
      <x:c r="O8" s="19" t="str">
        <x:v>company-self-fulltext</x:v>
      </x:c>
      <x:c r="P8" s="33" t="b">
        <x:v>1</x:v>
      </x:c>
      <x:c r="Q8" s="19" t="n">
        <x:v>1</x:v>
      </x:c>
      <x:c r="R8" s="19" t="str">
        <x:v>browser-confirmed-local-file-unavailable</x:v>
      </x:c>
    </x:row>
    <x:row r="9" ht="21.600000381469727" hidden="0" customHeight="1">
      <x:c r="A9" s="19" t="str">
        <x:v>R01–R04审计</x:v>
      </x:c>
      <x:c r="B9" s="19" t="str">
        <x:v>left-2021a</x:v>
      </x:c>
      <x:c r="C9" s="19" t="str">
        <x:v>左江科技</x:v>
      </x:c>
      <x:c r="D9" s="19" t="str">
        <x:v>正式报告</x:v>
      </x:c>
      <x:c r="E9" s="19" t="str">
        <x:v>左江科技2021年年度报告</x:v>
      </x:c>
      <x:c r="F9" s="19" t="str">
        <x:v>证券交易所/上市公司</x:v>
      </x:c>
      <x:c r="G9" s="19"/>
      <x:c r="H9" s="19" t="str">
        <x:v>北京左江科技股份有限公司</x:v>
      </x:c>
      <x:c r="I9" s="19" t="str">
        <x:v>2022-04-28</x:v>
      </x:c>
      <x:c r="J9" s="19"/>
      <x:c r="K9" s="19" t="str">
        <x:v>https://static.cninfo.com.cn/finalpage/2022-04-28/1213167893.PDF</x:v>
      </x:c>
      <x:c r="L9" s="19" t="str">
        <x:v>data/raw/showcase4-20260826/zuojiang/左江科技2021年年度报告全文.pdf</x:v>
      </x:c>
      <x:c r="M9" s="19" t="str">
        <x:v>22c882824f0f7db1c1c28de5a8efca1362957a0c73db7a5751c6fcd0146e85a4</x:v>
      </x:c>
      <x:c r="N9" s="19" t="n">
        <x:v>47095</x:v>
      </x:c>
      <x:c r="O9" s="19" t="str">
        <x:v>company-self-fulltext</x:v>
      </x:c>
      <x:c r="P9" s="33" t="b">
        <x:v>1</x:v>
      </x:c>
      <x:c r="Q9" s="19" t="n">
        <x:v>1</x:v>
      </x:c>
      <x:c r="R9" s="19" t="str">
        <x:v>browser-confirmed-local-file-unavailable</x:v>
      </x:c>
    </x:row>
    <x:row r="10" ht="21.600000381469727" hidden="0" customHeight="1">
      <x:c r="A10" s="19" t="str">
        <x:v>R01–R04审计</x:v>
      </x:c>
      <x:c r="B10" s="19" t="str">
        <x:v>left-2022a</x:v>
      </x:c>
      <x:c r="C10" s="19" t="str">
        <x:v>左江科技</x:v>
      </x:c>
      <x:c r="D10" s="19" t="str">
        <x:v>正式报告</x:v>
      </x:c>
      <x:c r="E10" s="19" t="str">
        <x:v>左江科技2022年年度报告</x:v>
      </x:c>
      <x:c r="F10" s="19" t="str">
        <x:v>证券交易所/上市公司</x:v>
      </x:c>
      <x:c r="G10" s="19"/>
      <x:c r="H10" s="19" t="str">
        <x:v>北京左江科技股份有限公司</x:v>
      </x:c>
      <x:c r="I10" s="19" t="str">
        <x:v>2023-04-28</x:v>
      </x:c>
      <x:c r="J10" s="19"/>
      <x:c r="K10" s="19"/>
      <x:c r="L10" s="19" t="str">
        <x:v>data/raw/showcase4-20260826/zuojiang/左江科技2022年年度报告全文.pdf</x:v>
      </x:c>
      <x:c r="M10" s="19" t="str">
        <x:v>fbd48a3aba209ac2b433e10da65b42a76c11762f943f21c93c8df39b964bd590</x:v>
      </x:c>
      <x:c r="N10" s="19" t="n">
        <x:v>43025</x:v>
      </x:c>
      <x:c r="O10" s="19" t="str">
        <x:v>company-self-fulltext</x:v>
      </x:c>
      <x:c r="P10" s="33" t="b">
        <x:v>1</x:v>
      </x:c>
      <x:c r="Q10" s="19" t="n">
        <x:v>1</x:v>
      </x:c>
      <x:c r="R10" s="19" t="str">
        <x:v>conditional-local-file-unavailable</x:v>
      </x:c>
    </x:row>
    <x:row r="11" ht="21.600000381469727" hidden="0" customHeight="1">
      <x:c r="A11" s="19" t="str">
        <x:v>R01–R04审计</x:v>
      </x:c>
      <x:c r="B11" s="19" t="str">
        <x:v>left-2023h1</x:v>
      </x:c>
      <x:c r="C11" s="19" t="str">
        <x:v>左江科技</x:v>
      </x:c>
      <x:c r="D11" s="19" t="str">
        <x:v>正式报告</x:v>
      </x:c>
      <x:c r="E11" s="19" t="str">
        <x:v>左江科技2023年半年度报告</x:v>
      </x:c>
      <x:c r="F11" s="19" t="str">
        <x:v>证券交易所/上市公司</x:v>
      </x:c>
      <x:c r="G11" s="19"/>
      <x:c r="H11" s="19" t="str">
        <x:v>北京左江科技股份有限公司</x:v>
      </x:c>
      <x:c r="I11" s="19" t="str">
        <x:v>2023-08-29</x:v>
      </x:c>
      <x:c r="J11" s="19"/>
      <x:c r="K11" s="19" t="str">
        <x:v>https://static.cninfo.com.cn/finalpage/2023-08-29/1217680253.PDF</x:v>
      </x:c>
      <x:c r="L11" s="19" t="str">
        <x:v>data/raw/showcase4-20260826/zuojiang/左江科技2023年半年度报告全文.pdf</x:v>
      </x:c>
      <x:c r="M11" s="19" t="str">
        <x:v>fc5a39b3f1bdba6d69172f718e2ef450b13db218204ff1e2856d1bbcb05c977c</x:v>
      </x:c>
      <x:c r="N11" s="19" t="n">
        <x:v>27593</x:v>
      </x:c>
      <x:c r="O11" s="19" t="str">
        <x:v>company-self-fulltext</x:v>
      </x:c>
      <x:c r="P11" s="33" t="b">
        <x:v>1</x:v>
      </x:c>
      <x:c r="Q11" s="19" t="n">
        <x:v>1</x:v>
      </x:c>
      <x:c r="R11" s="19" t="str">
        <x:v>browser-confirmed-local-file-unavailable</x:v>
      </x:c>
    </x:row>
    <x:row r="12" ht="21.600000381469727" hidden="0" customHeight="1">
      <x:c r="A12" s="19" t="str">
        <x:v>R01–R04审计</x:v>
      </x:c>
      <x:c r="B12" s="19" t="str">
        <x:v>left-2023q3</x:v>
      </x:c>
      <x:c r="C12" s="19" t="str">
        <x:v>左江科技</x:v>
      </x:c>
      <x:c r="D12" s="19" t="str">
        <x:v>正式报告</x:v>
      </x:c>
      <x:c r="E12" s="19" t="str">
        <x:v>左江科技2023年第三季度报告</x:v>
      </x:c>
      <x:c r="F12" s="19" t="str">
        <x:v>证券交易所/上市公司</x:v>
      </x:c>
      <x:c r="G12" s="19"/>
      <x:c r="H12" s="19" t="str">
        <x:v>北京左江科技股份有限公司</x:v>
      </x:c>
      <x:c r="I12" s="19" t="str">
        <x:v>2023-10-25</x:v>
      </x:c>
      <x:c r="J12" s="19"/>
      <x:c r="K12" s="19" t="str">
        <x:v>https://static.cninfo.com.cn/finalpage/2023-10-25/1218138997.PDF</x:v>
      </x:c>
      <x:c r="L12" s="19" t="str">
        <x:v>data/raw/showcase4-20260826/zuojiang/左江科技2023年第三季度报告.pdf</x:v>
      </x:c>
      <x:c r="M12" s="19" t="str">
        <x:v>e7b7d097f8afc91a383f6fe57462ba146b64588de192d9ef49df91709bd42058</x:v>
      </x:c>
      <x:c r="N12" s="19" t="n">
        <x:v>2052</x:v>
      </x:c>
      <x:c r="O12" s="19" t="str">
        <x:v>company-self-fulltext</x:v>
      </x:c>
      <x:c r="P12" s="33" t="b">
        <x:v>1</x:v>
      </x:c>
      <x:c r="Q12" s="19" t="n">
        <x:v>1</x:v>
      </x:c>
      <x:c r="R12" s="19" t="str">
        <x:v>browser-confirmed-local-file-unavailable</x:v>
      </x:c>
    </x:row>
    <x:row r="13" ht="21.600000381469727" hidden="0" customHeight="1">
      <x:c r="A13" s="19" t="str">
        <x:v>R01–R04审计</x:v>
      </x:c>
      <x:c r="B13" s="19" t="str">
        <x:v>baili-2025h1</x:v>
      </x:c>
      <x:c r="C13" s="19" t="str">
        <x:v>百利天恒</x:v>
      </x:c>
      <x:c r="D13" s="19" t="str">
        <x:v>正式报告</x:v>
      </x:c>
      <x:c r="E13" s="19" t="str">
        <x:v>百利天恒2025年半年度报告</x:v>
      </x:c>
      <x:c r="F13" s="19" t="str">
        <x:v>证券交易所/上市公司</x:v>
      </x:c>
      <x:c r="G13" s="19"/>
      <x:c r="H13" s="19" t="str">
        <x:v>四川百利天恒药业股份有限公司</x:v>
      </x:c>
      <x:c r="I13" s="19" t="str">
        <x:v>2025-08-20</x:v>
      </x:c>
      <x:c r="J13" s="19" t="str">
        <x:v>https://www.sse.com.cn/disclosure/listedinfo/announcement/c/new/2025-08-20/688506_20250820_1WDV.pdf</x:v>
      </x:c>
      <x:c r="K13" s="19" t="str">
        <x:v>https://www.sse.com.cn/disclosure/listedinfo/announcement/c/new/2025-08-20/688506_20250820_1WDV.pdf</x:v>
      </x:c>
      <x:c r="L13" s="19" t="str">
        <x:v>data/derived/narrative-risk-r01-r04-20260826/evidence/official-reports/bailitannheng/baili-2025h1-百利天恒2025年半年度报告.pdf</x:v>
      </x:c>
      <x:c r="M13" s="19" t="str">
        <x:v>038dadecfe5ef28ce393e808d0a389b5ae93a83fcf9626bd9fca90fb3d67f328</x:v>
      </x:c>
      <x:c r="N13" s="19" t="n">
        <x:v>41627</x:v>
      </x:c>
      <x:c r="O13" s="19" t="str">
        <x:v>company-self-fulltext</x:v>
      </x:c>
      <x:c r="P13" s="33" t="b">
        <x:v>1</x:v>
      </x:c>
      <x:c r="Q13" s="19" t="n">
        <x:v>1</x:v>
      </x:c>
      <x:c r="R13" s="19" t="str">
        <x:v>browser-confirmed-local-file-unavailable</x:v>
      </x:c>
    </x:row>
    <x:row r="14" ht="21.600000381469727" hidden="0" customHeight="1">
      <x:c r="A14" s="19" t="str">
        <x:v>R01–R04审计</x:v>
      </x:c>
      <x:c r="B14" s="19" t="str">
        <x:v>baili-2025q3</x:v>
      </x:c>
      <x:c r="C14" s="19" t="str">
        <x:v>百利天恒</x:v>
      </x:c>
      <x:c r="D14" s="19" t="str">
        <x:v>正式报告</x:v>
      </x:c>
      <x:c r="E14" s="19" t="str">
        <x:v>百利天恒2025年第三季度报告</x:v>
      </x:c>
      <x:c r="F14" s="19" t="str">
        <x:v>证券交易所/上市公司</x:v>
      </x:c>
      <x:c r="G14" s="19"/>
      <x:c r="H14" s="19" t="str">
        <x:v>四川百利天恒药业股份有限公司</x:v>
      </x:c>
      <x:c r="I14" s="19" t="str">
        <x:v>2025-10-27</x:v>
      </x:c>
      <x:c r="J14" s="19" t="str">
        <x:v>https://www.sse.com.cn/disclosure/listedinfo/announcement/c/new/2025-10-27/688506_20251027_T1WI.pdf</x:v>
      </x:c>
      <x:c r="K14" s="19" t="str">
        <x:v>https://www.sse.com.cn/disclosure/listedinfo/announcement/c/new/2025-10-27/688506_20251027_T1WI.pdf</x:v>
      </x:c>
      <x:c r="L14" s="19" t="str">
        <x:v>data/derived/narrative-risk-r01-r04-20260826/evidence/official-reports/bailitannheng/baili-2025q3-百利天恒2025年第三季度报告.pdf</x:v>
      </x:c>
      <x:c r="M14" s="19" t="str">
        <x:v>4076f2db7da99632ff9d0be8c95946b61ed732c52e085e7329c05d35befda4da</x:v>
      </x:c>
      <x:c r="N14" s="19" t="n">
        <x:v>2373</x:v>
      </x:c>
      <x:c r="O14" s="19" t="str">
        <x:v>company-self-fulltext</x:v>
      </x:c>
      <x:c r="P14" s="33" t="b">
        <x:v>1</x:v>
      </x:c>
      <x:c r="Q14" s="19" t="n">
        <x:v>1</x:v>
      </x:c>
      <x:c r="R14" s="19" t="str">
        <x:v>conditional-local-file-unavailable</x:v>
      </x:c>
    </x:row>
    <x:row r="15" ht="21.600000381469727" hidden="0" customHeight="1">
      <x:c r="A15" s="19" t="str">
        <x:v>R01–R04审计</x:v>
      </x:c>
      <x:c r="B15" s="19" t="str">
        <x:v>baili-2025a</x:v>
      </x:c>
      <x:c r="C15" s="19" t="str">
        <x:v>百利天恒</x:v>
      </x:c>
      <x:c r="D15" s="19" t="str">
        <x:v>正式报告</x:v>
      </x:c>
      <x:c r="E15" s="19" t="str">
        <x:v>百利天恒2025年年度报告</x:v>
      </x:c>
      <x:c r="F15" s="19" t="str">
        <x:v>证券交易所/上市公司</x:v>
      </x:c>
      <x:c r="G15" s="19"/>
      <x:c r="H15" s="19" t="str">
        <x:v>四川百利天恒药业股份有限公司</x:v>
      </x:c>
      <x:c r="I15" s="19" t="str">
        <x:v>2026-04-28</x:v>
      </x:c>
      <x:c r="J15" s="19"/>
      <x:c r="K15" s="19" t="str">
        <x:v>https://static.cninfo.com.cn/finalpage/2026-04-28/1225217117.PDF</x:v>
      </x:c>
      <x:c r="L15" s="19" t="str">
        <x:v>data/raw/showcase4-20260826/bailitannheng/百利天恒2025年年度报告全文.pdf</x:v>
      </x:c>
      <x:c r="M15" s="19" t="str">
        <x:v>a014b59498351974f9eb22a1cd3d706c00c6f7a861ddef508fa022908122f3b5</x:v>
      </x:c>
      <x:c r="N15" s="19" t="n">
        <x:v>57876</x:v>
      </x:c>
      <x:c r="O15" s="19" t="str">
        <x:v>company-self-fulltext</x:v>
      </x:c>
      <x:c r="P15" s="33" t="b">
        <x:v>1</x:v>
      </x:c>
      <x:c r="Q15" s="19" t="n">
        <x:v>1</x:v>
      </x:c>
      <x:c r="R15" s="19" t="str">
        <x:v>browser-confirmed-local-file-unavailable</x:v>
      </x:c>
    </x:row>
    <x:row r="16" ht="21.600000381469727" hidden="0" customHeight="1">
      <x:c r="A16" s="19" t="str">
        <x:v>R01–R04审计</x:v>
      </x:c>
      <x:c r="B16" s="19" t="str">
        <x:v>baili-2026q1</x:v>
      </x:c>
      <x:c r="C16" s="19" t="str">
        <x:v>百利天恒</x:v>
      </x:c>
      <x:c r="D16" s="19" t="str">
        <x:v>正式报告</x:v>
      </x:c>
      <x:c r="E16" s="19" t="str">
        <x:v>百利天恒2026年第一季度报告</x:v>
      </x:c>
      <x:c r="F16" s="19" t="str">
        <x:v>证券交易所/上市公司</x:v>
      </x:c>
      <x:c r="G16" s="19"/>
      <x:c r="H16" s="19" t="str">
        <x:v>四川百利天恒药业股份有限公司</x:v>
      </x:c>
      <x:c r="I16" s="19" t="str">
        <x:v>2026-04-28</x:v>
      </x:c>
      <x:c r="J16" s="19" t="str">
        <x:v>https://www.sse.com.cn/disclosure/listedinfo/announcement/c/new/2026-04-28/688506_20260428_270L.pdf</x:v>
      </x:c>
      <x:c r="K16" s="19" t="str">
        <x:v>https://www.sse.com.cn/disclosure/listedinfo/announcement/c/new/2026-04-28/688506_20260428_270L.pdf</x:v>
      </x:c>
      <x:c r="L16" s="19" t="str">
        <x:v>data/derived/narrative-risk-r01-r04-20260826/evidence/official-reports/bailitannheng/baili-2026q1-百利天恒2026年第一季度报告.pdf</x:v>
      </x:c>
      <x:c r="M16" s="19" t="str">
        <x:v>35dc2f6bd9576f409cccfe691adccc189912e0a3278ae81c0a8faa9ee01459f5</x:v>
      </x:c>
      <x:c r="N16" s="19" t="n">
        <x:v>2093</x:v>
      </x:c>
      <x:c r="O16" s="19" t="str">
        <x:v>company-self-fulltext</x:v>
      </x:c>
      <x:c r="P16" s="33" t="b">
        <x:v>1</x:v>
      </x:c>
      <x:c r="Q16" s="19" t="n">
        <x:v>1</x:v>
      </x:c>
      <x:c r="R16" s="19" t="str">
        <x:v>conditional-local-file-unavailable</x:v>
      </x:c>
    </x:row>
    <x:row r="17" ht="21.600000381469727" hidden="0" customHeight="1">
      <x:c r="A17" s="19" t="str">
        <x:v>R01–R04审计</x:v>
      </x:c>
      <x:c r="B17" s="19" t="str">
        <x:v>cam-risk-warning-20260701</x:v>
      </x:c>
      <x:c r="C17" s="19" t="str">
        <x:v>寒武纪</x:v>
      </x:c>
      <x:c r="D17" s="19" t="str">
        <x:v>企业公告</x:v>
      </x:c>
      <x:c r="E17" s="19" t="str">
        <x:v>寒武纪股票交易风险提示公告</x:v>
      </x:c>
      <x:c r="F17" s="19" t="str">
        <x:v>证券交易所/上市公司</x:v>
      </x:c>
      <x:c r="G17" s="19"/>
      <x:c r="H17" s="19" t="str">
        <x:v>中科寒武纪科技股份有限公司</x:v>
      </x:c>
      <x:c r="I17" s="19" t="str">
        <x:v>2026-07-01</x:v>
      </x:c>
      <x:c r="J17" s="19" t="str">
        <x:v>https://www.sse.com.cn/disclosure/listedinfo/announcement/c/new/2026-07-01/688256_20260701_HDQD.pdf</x:v>
      </x:c>
      <x:c r="K17" s="19" t="str">
        <x:v>https://www.sse.com.cn/disclosure/listedinfo/announcement/c/new/2026-07-01/688256_20260701_HDQD.pdf</x:v>
      </x:c>
      <x:c r="L17" s="19" t="str">
        <x:v>data/derived/narrative-risk-r01-r04-20260826/evidence/official-announcements/cambricon/cam-risk-warning-20260701-寒武纪股票交易风险提示公告.pdf</x:v>
      </x:c>
      <x:c r="M17" s="19" t="str">
        <x:v>4c85a3905983cd13b8ff1d74a1f395cb83f9677188524b6fe33b9b3d00bd2f11</x:v>
      </x:c>
      <x:c r="N17" s="19" t="n">
        <x:v>619</x:v>
      </x:c>
      <x:c r="O17" s="19" t="str">
        <x:v>company-self-fulltext</x:v>
      </x:c>
      <x:c r="P17" s="33" t="b">
        <x:v>1</x:v>
      </x:c>
      <x:c r="Q17" s="19" t="n">
        <x:v>1</x:v>
      </x:c>
      <x:c r="R17" s="19" t="str">
        <x:v>conditional-local-file-unavailable</x:v>
      </x:c>
    </x:row>
    <x:row r="18" ht="21.600000381469727" hidden="0" customHeight="1">
      <x:c r="A18" s="19" t="str">
        <x:v>R01–R04审计</x:v>
      </x:c>
      <x:c r="B18" s="19" t="str">
        <x:v>left-delay-20231130</x:v>
      </x:c>
      <x:c r="C18" s="19" t="str">
        <x:v>左江科技</x:v>
      </x:c>
      <x:c r="D18" s="19" t="str">
        <x:v>企业公告</x:v>
      </x:c>
      <x:c r="E18" s="19" t="str">
        <x:v>左江科技延期回复三季报问询函公告</x:v>
      </x:c>
      <x:c r="F18" s="19" t="str">
        <x:v>证券交易所/上市公司</x:v>
      </x:c>
      <x:c r="G18" s="19"/>
      <x:c r="H18" s="19" t="str">
        <x:v>北京左江科技股份有限公司</x:v>
      </x:c>
      <x:c r="I18" s="19" t="str">
        <x:v>2023-11-30</x:v>
      </x:c>
      <x:c r="J18" s="19"/>
      <x:c r="K18" s="19"/>
      <x:c r="L18" s="19" t="str">
        <x:v>data/raw/showcase4-20260826/zuojiang/左江科技延期回复问询函公告_2023-11-30.pdf</x:v>
      </x:c>
      <x:c r="M18" s="19" t="str">
        <x:v>8f8bd0fc36a903b7ed50d006d6e22de9cd6530f25e54d04ef34070c1a04d20b7</x:v>
      </x:c>
      <x:c r="N18" s="19" t="n">
        <x:v>270</x:v>
      </x:c>
      <x:c r="O18" s="19" t="str">
        <x:v>company-self-fulltext</x:v>
      </x:c>
      <x:c r="P18" s="33" t="b">
        <x:v>1</x:v>
      </x:c>
      <x:c r="Q18" s="19" t="n">
        <x:v>1</x:v>
      </x:c>
      <x:c r="R18" s="19" t="str">
        <x:v>conditional-local-file-unavailable</x:v>
      </x:c>
    </x:row>
    <x:row r="19" ht="21.600000381469727" hidden="0" customHeight="1">
      <x:c r="A19" s="19" t="str">
        <x:v>R01–R04审计</x:v>
      </x:c>
      <x:c r="B19" s="19" t="str">
        <x:v>baili-clinical-20260818</x:v>
      </x:c>
      <x:c r="C19" s="19" t="str">
        <x:v>百利天恒</x:v>
      </x:c>
      <x:c r="D19" s="19" t="str">
        <x:v>企业公告</x:v>
      </x:c>
      <x:c r="E19" s="19" t="str">
        <x:v>百利天恒伦康依隆妥单抗非小细胞肺癌III期临床期中分析达到主要终点公告</x:v>
      </x:c>
      <x:c r="F19" s="19" t="str">
        <x:v>证券交易所/上市公司</x:v>
      </x:c>
      <x:c r="G19" s="19"/>
      <x:c r="H19" s="19" t="str">
        <x:v>四川百利天恒药业股份有限公司</x:v>
      </x:c>
      <x:c r="I19" s="19" t="str">
        <x:v>2026-08-18</x:v>
      </x:c>
      <x:c r="J19" s="19" t="str">
        <x:v>https://www.sse.com.cn/disclosure/listedinfo/announcement/c/new/2026-08-18/688506_20260818_XHCA.pdf</x:v>
      </x:c>
      <x:c r="K19" s="19" t="str">
        <x:v>https://www.sse.com.cn/disclosure/listedinfo/announcement/c/new/2026-08-18/688506_20260818_XHCA.pdf</x:v>
      </x:c>
      <x:c r="L19" s="19" t="str">
        <x:v>data/derived/narrative-risk-r01-r04-20260826/evidence/official-announcements/bailitannheng/baili-clinical-20260818-百利天恒伦康依隆妥单抗非小细胞肺癌III期临床期中分析达到主要终点公告.pdf</x:v>
      </x:c>
      <x:c r="M19" s="19" t="str">
        <x:v>9cd6c21404852e764cd8cf977d9fee9ae302246a219409c53bf79cc769c1163d</x:v>
      </x:c>
      <x:c r="N19" s="19" t="n">
        <x:v>373</x:v>
      </x:c>
      <x:c r="O19" s="19" t="str">
        <x:v>company-self-fulltext</x:v>
      </x:c>
      <x:c r="P19" s="33" t="b">
        <x:v>1</x:v>
      </x:c>
      <x:c r="Q19" s="19" t="n">
        <x:v>1</x:v>
      </x:c>
      <x:c r="R19" s="19" t="str">
        <x:v>conditional-local-file-unavailable</x:v>
      </x:c>
    </x:row>
    <x:row r="20" ht="21.600000381469727" hidden="0" customHeight="1">
      <x:c r="A20" s="19" t="str">
        <x:v>R01–R04审计</x:v>
      </x:c>
      <x:c r="B20" s="19" t="str">
        <x:v>baili-clinical-20260826</x:v>
      </x:c>
      <x:c r="C20" s="19" t="str">
        <x:v>百利天恒</x:v>
      </x:c>
      <x:c r="D20" s="19" t="str">
        <x:v>企业公告</x:v>
      </x:c>
      <x:c r="E20" s="19" t="str">
        <x:v>百利天恒宜泽康HR+HER2-乳腺癌III期临床期中分析达到主要终点公告</x:v>
      </x:c>
      <x:c r="F20" s="19" t="str">
        <x:v>证券交易所/上市公司</x:v>
      </x:c>
      <x:c r="G20" s="19"/>
      <x:c r="H20" s="19" t="str">
        <x:v>四川百利天恒药业股份有限公司</x:v>
      </x:c>
      <x:c r="I20" s="19" t="str">
        <x:v>2026-08-26</x:v>
      </x:c>
      <x:c r="J20" s="19" t="str">
        <x:v>https://www.sse.com.cn/disclosure/listedinfo/announcement/c/new/2026-08-26/688506_20260826_AQRN.pdf</x:v>
      </x:c>
      <x:c r="K20" s="19" t="str">
        <x:v>https://www.sse.com.cn/disclosure/listedinfo/announcement/c/new/2026-08-26/688506_20260826_AQRN.pdf</x:v>
      </x:c>
      <x:c r="L20" s="19" t="str">
        <x:v>data/derived/narrative-risk-r01-r04-20260826/evidence/official-announcements/bailitannheng/baili-clinical-20260826-百利天恒宜泽康HR-HER2-乳腺癌III期临床期中分析达到主要终点公告.pdf</x:v>
      </x:c>
      <x:c r="M20" s="19" t="str">
        <x:v>196f40c5def2da840f04b9a6e3ffa9449f2a42ab0c1bc815556bbdaee1d32806</x:v>
      </x:c>
      <x:c r="N20" s="19" t="n">
        <x:v>368</x:v>
      </x:c>
      <x:c r="O20" s="19" t="str">
        <x:v>company-self-fulltext</x:v>
      </x:c>
      <x:c r="P20" s="33" t="b">
        <x:v>1</x:v>
      </x:c>
      <x:c r="Q20" s="19" t="n">
        <x:v>1</x:v>
      </x:c>
      <x:c r="R20" s="19" t="str">
        <x:v>conditional-local-file-unavailable</x:v>
      </x:c>
    </x:row>
    <x:row r="21" ht="15" hidden="0" customHeight="1">
      <x:c r="A21" s="19" t="str">
        <x:v>R01–R04审计</x:v>
      </x:c>
      <x:c r="B21" s="19" t="str">
        <x:v>left-audit-2022</x:v>
      </x:c>
      <x:c r="C21" s="19" t="str">
        <x:v>左江科技</x:v>
      </x:c>
      <x:c r="D21" s="19" t="str">
        <x:v>第三方评价</x:v>
      </x:c>
      <x:c r="E21" s="19" t="str">
        <x:v>左江科技2022年度审计报告</x:v>
      </x:c>
      <x:c r="F21" s="19" t="str">
        <x:v>信永中和会计师事务所</x:v>
      </x:c>
      <x:c r="G21" s="19"/>
      <x:c r="H21" s="19"/>
      <x:c r="I21" s="19" t="str">
        <x:v>2023-04-28</x:v>
      </x:c>
      <x:c r="J21" s="19"/>
      <x:c r="K21" s="19"/>
      <x:c r="L21" s="19" t="str">
        <x:v>data/raw/showcase4-20260826/zuojiang/左江科技2022年度审计报告.pdf</x:v>
      </x:c>
      <x:c r="M21" s="19" t="str">
        <x:v>b9c85760a9fdf10765fae4a776f3c192a4ffc0307642273c3e156e7e8592dad0</x:v>
      </x:c>
      <x:c r="N21" s="19" t="n">
        <x:v>729</x:v>
      </x:c>
      <x:c r="O21" s="19" t="str">
        <x:v>third-party-fulltext</x:v>
      </x:c>
      <x:c r="P21" s="33" t="b">
        <x:v>1</x:v>
      </x:c>
      <x:c r="Q21" s="19" t="n">
        <x:v>1</x:v>
      </x:c>
      <x:c r="R21" s="19" t="str">
        <x:v>conditional-local-file-unavailable</x:v>
      </x:c>
    </x:row>
    <x:row r="22" ht="15" hidden="0" customHeight="1">
      <x:c r="A22" s="19" t="str">
        <x:v>R01–R04审计</x:v>
      </x:c>
      <x:c r="B22" s="19" t="str">
        <x:v>left-inquiry-1</x:v>
      </x:c>
      <x:c r="C22" s="19" t="str">
        <x:v>左江科技</x:v>
      </x:c>
      <x:c r="D22" s="19" t="str">
        <x:v>第三方评价</x:v>
      </x:c>
      <x:c r="E22" s="19" t="str">
        <x:v>深交所左江科技三季报问询函</x:v>
      </x:c>
      <x:c r="F22" s="19" t="str">
        <x:v>深圳证券交易所</x:v>
      </x:c>
      <x:c r="G22" s="19"/>
      <x:c r="H22" s="19"/>
      <x:c r="I22" s="19" t="str">
        <x:v>2023-11-04</x:v>
      </x:c>
      <x:c r="J22" s="19"/>
      <x:c r="K22" s="19"/>
      <x:c r="L22" s="19" t="str">
        <x:v>data/raw/showcase4-20260826/zuojiang/深交所左江科技三季报问询函_2023-11-04.pdf</x:v>
      </x:c>
      <x:c r="M22" s="19" t="str">
        <x:v>1ec2c7a19999324396ab16a8257f628b8f4c369c9263b300808591f6b1cf8b88</x:v>
      </x:c>
      <x:c r="N22" s="19" t="n">
        <x:v>364</x:v>
      </x:c>
      <x:c r="O22" s="19" t="str">
        <x:v>third-party-fulltext</x:v>
      </x:c>
      <x:c r="P22" s="33" t="b">
        <x:v>1</x:v>
      </x:c>
      <x:c r="Q22" s="19" t="n">
        <x:v>1</x:v>
      </x:c>
      <x:c r="R22" s="19" t="str">
        <x:v>conditional-local-file-unavailable</x:v>
      </x:c>
    </x:row>
    <x:row r="23" ht="15" hidden="0" customHeight="1">
      <x:c r="A23" s="19" t="str">
        <x:v>R01–R04审计</x:v>
      </x:c>
      <x:c r="B23" s="19" t="str">
        <x:v>left-inquiry-2</x:v>
      </x:c>
      <x:c r="C23" s="19" t="str">
        <x:v>左江科技</x:v>
      </x:c>
      <x:c r="D23" s="19" t="str">
        <x:v>第三方评价</x:v>
      </x:c>
      <x:c r="E23" s="19" t="str">
        <x:v>深交所左江科技第二轮问询函</x:v>
      </x:c>
      <x:c r="F23" s="19" t="str">
        <x:v>深圳证券交易所</x:v>
      </x:c>
      <x:c r="G23" s="19"/>
      <x:c r="H23" s="19"/>
      <x:c r="I23" s="19" t="str">
        <x:v>2023-11-16</x:v>
      </x:c>
      <x:c r="J23" s="19"/>
      <x:c r="K23" s="19"/>
      <x:c r="L23" s="19" t="str">
        <x:v>data/raw/showcase4-20260826/zuojiang/深交所左江科技第二轮问询函_2023-11.pdf</x:v>
      </x:c>
      <x:c r="M23" s="19" t="str">
        <x:v>8f7b06fbaeea63758f6d893fc3156fae58a318f719fc04a22c5f7d43862ff932</x:v>
      </x:c>
      <x:c r="N23" s="19" t="n">
        <x:v>616</x:v>
      </x:c>
      <x:c r="O23" s="19" t="str">
        <x:v>third-party-fulltext</x:v>
      </x:c>
      <x:c r="P23" s="33" t="b">
        <x:v>1</x:v>
      </x:c>
      <x:c r="Q23" s="19" t="n">
        <x:v>1</x:v>
      </x:c>
      <x:c r="R23" s="19" t="str">
        <x:v>conditional-local-file-unavailable</x:v>
      </x:c>
    </x:row>
    <x:row r="24" ht="32.400001525878906" hidden="0" customHeight="1">
      <x:c r="A24" s="19" t="str">
        <x:v>R01–R04审计</x:v>
      </x:c>
      <x:c r="B24" s="19" t="str">
        <x:v>baili-bms</x:v>
      </x:c>
      <x:c r="C24" s="19" t="str">
        <x:v>百利天恒</x:v>
      </x:c>
      <x:c r="D24" s="19" t="str">
        <x:v>第三方评价</x:v>
      </x:c>
      <x:c r="E24" s="19" t="str">
        <x:v>BMS与SystImmune关于BL-B01D1合作公告</x:v>
      </x:c>
      <x:c r="F24" s="19" t="str">
        <x:v>Bristol Myers Squibb</x:v>
      </x:c>
      <x:c r="G24" s="19"/>
      <x:c r="H24" s="19"/>
      <x:c r="I24" s="19" t="str">
        <x:v>2023-12-11</x:v>
      </x:c>
      <x:c r="J24" s="19"/>
      <x:c r="K24" s="19" t="str">
        <x:v>https://news.bms.com/news/details/2023/SystImmune-and-Bristol-Myers-Squibb-Announce-a-Global-Strategic-Collaboration-Agreement-for-the-Development-and-Commercialization-of-BL-B01D1/default.aspx</x:v>
      </x:c>
      <x:c r="L24" s="19" t="str">
        <x:v>data/raw/showcase4-20260826/bailitannheng/BMS_SystImmune_BL-B01D1合作公告.pdf</x:v>
      </x:c>
      <x:c r="M24" s="19" t="str">
        <x:v>7a85a2a5688a12c3303b3c2b0323b245a0f3bd1ed0dfc520c24f05116b374c82</x:v>
      </x:c>
      <x:c r="N24" s="19" t="n">
        <x:v>1400</x:v>
      </x:c>
      <x:c r="O24" s="19" t="str">
        <x:v>third-party-fulltext</x:v>
      </x:c>
      <x:c r="P24" s="33" t="b">
        <x:v>1</x:v>
      </x:c>
      <x:c r="Q24" s="19" t="n">
        <x:v>1</x:v>
      </x:c>
      <x:c r="R24" s="19" t="str">
        <x:v>browser-confirmed-local-file-unavailable</x:v>
      </x:c>
    </x:row>
    <x:row r="25" ht="15" hidden="0" customHeight="1">
      <x:c r="A25" s="19" t="str">
        <x:v>R01–R04审计</x:v>
      </x:c>
      <x:c r="B25" s="19" t="str">
        <x:v>left-post-reply</x:v>
      </x:c>
      <x:c r="C25" s="19" t="str">
        <x:v>左江科技</x:v>
      </x:c>
      <x:c r="D25" s="19" t="str">
        <x:v>事件后验证</x:v>
      </x:c>
      <x:c r="E25" s="19" t="str">
        <x:v>左江科技问询回复</x:v>
      </x:c>
      <x:c r="F25" s="19" t="str">
        <x:v>北京左江科技股份有限公司</x:v>
      </x:c>
      <x:c r="G25" s="19"/>
      <x:c r="H25" s="19"/>
      <x:c r="I25" s="19" t="str">
        <x:v>2023-12-12</x:v>
      </x:c>
      <x:c r="J25" s="19"/>
      <x:c r="K25" s="19"/>
      <x:c r="L25" s="19" t="str">
        <x:v>data/raw/showcase4-20260826/zuojiang/post-cutoff_左江科技问询回复_2023-12-12.pdf</x:v>
      </x:c>
      <x:c r="M25" s="19" t="str">
        <x:v>5ecd7128854016ee51eee681a7ca558223910abca58e1e615dbf633f6dfbfc54</x:v>
      </x:c>
      <x:c r="N25" s="19" t="n">
        <x:v>3653</x:v>
      </x:c>
      <x:c r="O25" s="19" t="str">
        <x:v>post-cutoff-validation-only</x:v>
      </x:c>
      <x:c r="P25" s="33" t="b">
        <x:v>0</x:v>
      </x:c>
      <x:c r="Q25" s="19" t="n">
        <x:v>1</x:v>
      </x:c>
      <x:c r="R25" s="19" t="str">
        <x:v>conditional-local-file-unavailable</x:v>
      </x:c>
    </x:row>
    <x:row r="26" ht="15" hidden="0" customHeight="1">
      <x:c r="A26" s="19" t="str">
        <x:v>R01–R04审计</x:v>
      </x:c>
      <x:c r="B26" s="19" t="str">
        <x:v>left-post-investigation</x:v>
      </x:c>
      <x:c r="C26" s="19" t="str">
        <x:v>左江科技</x:v>
      </x:c>
      <x:c r="D26" s="19" t="str">
        <x:v>事件后验证</x:v>
      </x:c>
      <x:c r="E26" s="19" t="str">
        <x:v>左江科技立案调查进展</x:v>
      </x:c>
      <x:c r="F26" s="19" t="str">
        <x:v>北京左江科技股份有限公司</x:v>
      </x:c>
      <x:c r="G26" s="19"/>
      <x:c r="H26" s="19"/>
      <x:c r="I26" s="19" t="str">
        <x:v>2024-01-31</x:v>
      </x:c>
      <x:c r="J26" s="19"/>
      <x:c r="K26" s="19"/>
      <x:c r="L26" s="19" t="str">
        <x:v>data/raw/showcase4-20260826/zuojiang/post-cutoff_左江科技立案调查进展_2024-01-31.pdf</x:v>
      </x:c>
      <x:c r="M26" s="19" t="str">
        <x:v>5aacb16c8cf5f2cead5896f63ffa9d54e668a5a21eb6e5a0c437e6185e18c21f</x:v>
      </x:c>
      <x:c r="N26" s="19" t="n">
        <x:v>899</x:v>
      </x:c>
      <x:c r="O26" s="19" t="str">
        <x:v>post-cutoff-validation-only</x:v>
      </x:c>
      <x:c r="P26" s="33" t="b">
        <x:v>0</x:v>
      </x:c>
      <x:c r="Q26" s="19" t="n">
        <x:v>1</x:v>
      </x:c>
      <x:c r="R26" s="19" t="str">
        <x:v>conditional-local-file-unavailable</x:v>
      </x:c>
    </x:row>
    <x:row r="27" ht="15" hidden="0" customHeight="1">
      <x:c r="A27" s="19" t="str">
        <x:v>R01–R04审计</x:v>
      </x:c>
      <x:c r="B27" s="19" t="str">
        <x:v>left-post-delisting</x:v>
      </x:c>
      <x:c r="C27" s="19" t="str">
        <x:v>左江科技</x:v>
      </x:c>
      <x:c r="D27" s="19" t="str">
        <x:v>事件后验证</x:v>
      </x:c>
      <x:c r="E27" s="19" t="str">
        <x:v>左江科技终止上市摘牌公告</x:v>
      </x:c>
      <x:c r="F27" s="19" t="str">
        <x:v>北京左江科技股份有限公司</x:v>
      </x:c>
      <x:c r="G27" s="19"/>
      <x:c r="H27" s="19"/>
      <x:c r="I27" s="19" t="str">
        <x:v>2024-07-26</x:v>
      </x:c>
      <x:c r="J27" s="19"/>
      <x:c r="K27" s="19"/>
      <x:c r="L27" s="19" t="str">
        <x:v>data/raw/showcase4-20260826/zuojiang/post-cutoff_左江科技终止上市摘牌公告_2024-07-26.pdf</x:v>
      </x:c>
      <x:c r="M27" s="19" t="str">
        <x:v>c98c0306a93ba805bbdc72b480a1dff2afd44bab2aad05462e8e491eb0d00366</x:v>
      </x:c>
      <x:c r="N27" s="19" t="n">
        <x:v>741</x:v>
      </x:c>
      <x:c r="O27" s="19" t="str">
        <x:v>post-cutoff-validation-only</x:v>
      </x:c>
      <x:c r="P27" s="33" t="b">
        <x:v>0</x:v>
      </x:c>
      <x:c r="Q27" s="19" t="n">
        <x:v>1</x:v>
      </x:c>
      <x:c r="R27" s="19" t="str">
        <x:v>conditional-local-file-unavailable</x:v>
      </x:c>
    </x:row>
    <x:row r="28" ht="21.600000381469727" hidden="0" customHeight="1">
      <x:c r="A28" s="19" t="str">
        <x:v>R01–R04审计</x:v>
      </x:c>
      <x:c r="B28" s="19" t="str">
        <x:v>semidrive-site-345b9ce570c2</x:v>
      </x:c>
      <x:c r="C28" s="19" t="str">
        <x:v>芯驰科技</x:v>
      </x:c>
      <x:c r="D28" s="19" t="str">
        <x:v>企业官网/企业资讯</x:v>
      </x:c>
      <x:c r="E28" s="19" t="str">
        <x:v>芯驰科技官网首页及产品概览</x:v>
      </x:c>
      <x:c r="F28" s="19" t="str">
        <x:v>芯驰科技</x:v>
      </x:c>
      <x:c r="G28" s="19"/>
      <x:c r="H28" s="19"/>
      <x:c r="I28" s="19" t="str">
        <x:v>2026-08-26</x:v>
      </x:c>
      <x:c r="J28" s="19" t="str">
        <x:v>https://www.semidrive.com/</x:v>
      </x:c>
      <x:c r="K28" s="19" t="str">
        <x:v>https://www.semidrive.com/</x:v>
      </x:c>
      <x:c r="L28" s="19" t="str">
        <x:v>data/derived/narrative-risk-r01-r04-20260826/evidence/company-site/semidrive/semidrive-site-345b9ce570c2.txt</x:v>
      </x:c>
      <x:c r="M28" s="19" t="str">
        <x:v>4736fede1e6462dde463d3f000b8ce2e9895b50a875a2f59c2d0d59a31d8a18a</x:v>
      </x:c>
      <x:c r="N28" s="19" t="n">
        <x:v>1350</x:v>
      </x:c>
      <x:c r="O28" s="19" t="str">
        <x:v>company-self-fulltext</x:v>
      </x:c>
      <x:c r="P28" s="33" t="b">
        <x:v>1</x:v>
      </x:c>
      <x:c r="Q28" s="19" t="n">
        <x:v>1</x:v>
      </x:c>
      <x:c r="R28" s="19" t="str">
        <x:v>conditional-local-file-unavailable</x:v>
      </x:c>
    </x:row>
    <x:row r="29" ht="21.600000381469727" hidden="0" customHeight="1">
      <x:c r="A29" s="19" t="str">
        <x:v>R01–R04审计</x:v>
      </x:c>
      <x:c r="B29" s="19" t="str">
        <x:v>semidrive-site-07f56625c263</x:v>
      </x:c>
      <x:c r="C29" s="19" t="str">
        <x:v>芯驰科技</x:v>
      </x:c>
      <x:c r="D29" s="19" t="str">
        <x:v>企业官网/企业资讯</x:v>
      </x:c>
      <x:c r="E29" s="19" t="str">
        <x:v>芯驰科技用一颗芯片，装下AI座舱“大脑”</x:v>
      </x:c>
      <x:c r="F29" s="19" t="str">
        <x:v>芯驰科技</x:v>
      </x:c>
      <x:c r="G29" s="19"/>
      <x:c r="H29" s="19"/>
      <x:c r="I29" s="19" t="str">
        <x:v>2026-08-03</x:v>
      </x:c>
      <x:c r="J29" s="19" t="str">
        <x:v>https://www.semidrive.com/news/view-NDUyNzU=.html</x:v>
      </x:c>
      <x:c r="K29" s="19" t="str">
        <x:v>https://www.semidrive.com/news/view-NDUyNzU=.html</x:v>
      </x:c>
      <x:c r="L29" s="19" t="str">
        <x:v>data/derived/narrative-risk-r01-r04-20260826/evidence/company-site/semidrive/semidrive-site-07f56625c263.txt</x:v>
      </x:c>
      <x:c r="M29" s="19" t="str">
        <x:v>bd07969f03578b61dc02165c16ac8470d0c3e545303947d0fe810858b7176338</x:v>
      </x:c>
      <x:c r="N29" s="19" t="n">
        <x:v>785</x:v>
      </x:c>
      <x:c r="O29" s="19" t="str">
        <x:v>company-self-fulltext</x:v>
      </x:c>
      <x:c r="P29" s="33" t="b">
        <x:v>1</x:v>
      </x:c>
      <x:c r="Q29" s="19" t="n">
        <x:v>1</x:v>
      </x:c>
      <x:c r="R29" s="19" t="str">
        <x:v>conditional-local-file-unavailable</x:v>
      </x:c>
    </x:row>
    <x:row r="30" ht="21.600000381469727" hidden="0" customHeight="1">
      <x:c r="A30" s="19" t="str">
        <x:v>R01–R04审计</x:v>
      </x:c>
      <x:c r="B30" s="19" t="str">
        <x:v>semidrive-site-cb2a67e3422a</x:v>
      </x:c>
      <x:c r="C30" s="19" t="str">
        <x:v>芯驰科技</x:v>
      </x:c>
      <x:c r="D30" s="19" t="str">
        <x:v>企业官网/企业资讯</x:v>
      </x:c>
      <x:c r="E30" s="19" t="str">
        <x:v>芯驰出席盖世汽车AI智舱大会，分享AI智舱“芯”思路</x:v>
      </x:c>
      <x:c r="F30" s="19" t="str">
        <x:v>芯驰科技</x:v>
      </x:c>
      <x:c r="G30" s="19"/>
      <x:c r="H30" s="19"/>
      <x:c r="I30" s="19" t="str">
        <x:v>2026-06-29</x:v>
      </x:c>
      <x:c r="J30" s="19" t="str">
        <x:v>https://www.semidrive.com/news/view-NDUyNDE=.html</x:v>
      </x:c>
      <x:c r="K30" s="19" t="str">
        <x:v>https://www.semidrive.com/news/view-NDUyNDE=.html</x:v>
      </x:c>
      <x:c r="L30" s="19" t="str">
        <x:v>data/derived/narrative-risk-r01-r04-20260826/evidence/company-site/semidrive/semidrive-site-cb2a67e3422a.txt</x:v>
      </x:c>
      <x:c r="M30" s="19" t="str">
        <x:v>aee6946dd4cd77620f6653aedb3f421f5d70ad8bbaa4152e59cbec0106ddbc56</x:v>
      </x:c>
      <x:c r="N30" s="19" t="n">
        <x:v>398</x:v>
      </x:c>
      <x:c r="O30" s="19" t="str">
        <x:v>company-self-fulltext</x:v>
      </x:c>
      <x:c r="P30" s="33" t="b">
        <x:v>1</x:v>
      </x:c>
      <x:c r="Q30" s="19" t="n">
        <x:v>1</x:v>
      </x:c>
      <x:c r="R30" s="19" t="str">
        <x:v>conditional-local-file-unavailable</x:v>
      </x:c>
    </x:row>
    <x:row r="31" ht="21.600000381469727" hidden="0" customHeight="1">
      <x:c r="A31" s="19" t="str">
        <x:v>R01–R04审计</x:v>
      </x:c>
      <x:c r="B31" s="19" t="str">
        <x:v>semidrive-site-6f3865b823e2</x:v>
      </x:c>
      <x:c r="C31" s="19" t="str">
        <x:v>芯驰科技</x:v>
      </x:c>
      <x:c r="D31" s="19" t="str">
        <x:v>企业官网/企业资讯</x:v>
      </x:c>
      <x:c r="E31" s="19" t="str">
        <x:v>芯驰亮相重庆车展 全维芯方案引领智能出行新变革</x:v>
      </x:c>
      <x:c r="F31" s="19" t="str">
        <x:v>芯驰科技</x:v>
      </x:c>
      <x:c r="G31" s="19"/>
      <x:c r="H31" s="19"/>
      <x:c r="I31" s="19" t="str">
        <x:v>2026-06-16</x:v>
      </x:c>
      <x:c r="J31" s="19" t="str">
        <x:v>https://www.semidrive.com/news/view-NDUyMDc=.html</x:v>
      </x:c>
      <x:c r="K31" s="19" t="str">
        <x:v>https://www.semidrive.com/news/view-NDUyMDc=.html</x:v>
      </x:c>
      <x:c r="L31" s="19" t="str">
        <x:v>data/derived/narrative-risk-r01-r04-20260826/evidence/company-site/semidrive/semidrive-site-6f3865b823e2.txt</x:v>
      </x:c>
      <x:c r="M31" s="19" t="str">
        <x:v>75a8023c60c56e2139cce35f73a1c793f9d5c06875346d0c5108a2d4c7f27d88</x:v>
      </x:c>
      <x:c r="N31" s="19" t="n">
        <x:v>526</x:v>
      </x:c>
      <x:c r="O31" s="19" t="str">
        <x:v>company-self-fulltext</x:v>
      </x:c>
      <x:c r="P31" s="33" t="b">
        <x:v>1</x:v>
      </x:c>
      <x:c r="Q31" s="19" t="n">
        <x:v>1</x:v>
      </x:c>
      <x:c r="R31" s="19" t="str">
        <x:v>conditional-local-file-unavailable</x:v>
      </x:c>
    </x:row>
    <x:row r="32" ht="21.600000381469727" hidden="0" customHeight="1">
      <x:c r="A32" s="19" t="str">
        <x:v>R01–R04审计</x:v>
      </x:c>
      <x:c r="B32" s="19" t="str">
        <x:v>semidrive-site-cc7cc1c76b92</x:v>
      </x:c>
      <x:c r="C32" s="19" t="str">
        <x:v>芯驰科技</x:v>
      </x:c>
      <x:c r="D32" s="19" t="str">
        <x:v>企业官网/企业资讯</x:v>
      </x:c>
      <x:c r="E32" s="19" t="str">
        <x:v>芯驰X10 AI智舱芯片荣膺第五届知鼎奖"智能座舱科技创新奖"</x:v>
      </x:c>
      <x:c r="F32" s="19" t="str">
        <x:v>芯驰科技</x:v>
      </x:c>
      <x:c r="G32" s="19"/>
      <x:c r="H32" s="19"/>
      <x:c r="I32" s="19" t="str">
        <x:v>2026-06-01</x:v>
      </x:c>
      <x:c r="J32" s="19" t="str">
        <x:v>https://www.semidrive.com/news/view-NDUxMzk=.html</x:v>
      </x:c>
      <x:c r="K32" s="19" t="str">
        <x:v>https://www.semidrive.com/news/view-NDUxMzk=.html</x:v>
      </x:c>
      <x:c r="L32" s="19" t="str">
        <x:v>data/derived/narrative-risk-r01-r04-20260826/evidence/company-site/semidrive/semidrive-site-cc7cc1c76b92.txt</x:v>
      </x:c>
      <x:c r="M32" s="19" t="str">
        <x:v>e147cc0d89e77fe5039978f3a137dd8ef9942e78a7be37978ad2f35e51caf3d9</x:v>
      </x:c>
      <x:c r="N32" s="19" t="n">
        <x:v>378</x:v>
      </x:c>
      <x:c r="O32" s="19" t="str">
        <x:v>company-self-fulltext</x:v>
      </x:c>
      <x:c r="P32" s="33" t="b">
        <x:v>1</x:v>
      </x:c>
      <x:c r="Q32" s="19" t="n">
        <x:v>1</x:v>
      </x:c>
      <x:c r="R32" s="19" t="str">
        <x:v>conditional-local-file-unavailable</x:v>
      </x:c>
    </x:row>
    <x:row r="33" ht="21.600000381469727" hidden="0" customHeight="1">
      <x:c r="A33" s="19" t="str">
        <x:v>R01–R04审计</x:v>
      </x:c>
      <x:c r="B33" s="19" t="str">
        <x:v>semidrive-site-6f97b3cf4966</x:v>
      </x:c>
      <x:c r="C33" s="19" t="str">
        <x:v>芯驰科技</x:v>
      </x:c>
      <x:c r="D33" s="19" t="str">
        <x:v>企业官网/企业资讯</x:v>
      </x:c>
      <x:c r="E33" s="19" t="str">
        <x:v>芯驰参加车用动力系统展览，展示前瞻动力解决方案</x:v>
      </x:c>
      <x:c r="F33" s="19" t="str">
        <x:v>芯驰科技</x:v>
      </x:c>
      <x:c r="G33" s="19"/>
      <x:c r="H33" s="19"/>
      <x:c r="I33" s="19" t="str">
        <x:v>2026-05-25</x:v>
      </x:c>
      <x:c r="J33" s="19" t="str">
        <x:v>https://www.semidrive.com/news/view-NDUxNzM=.html</x:v>
      </x:c>
      <x:c r="K33" s="19" t="str">
        <x:v>https://www.semidrive.com/news/view-NDUxNzM=.html</x:v>
      </x:c>
      <x:c r="L33" s="19" t="str">
        <x:v>data/derived/narrative-risk-r01-r04-20260826/evidence/company-site/semidrive/semidrive-site-6f97b3cf4966.txt</x:v>
      </x:c>
      <x:c r="M33" s="19" t="str">
        <x:v>5eacb7a8e693ffcb1fb9e9714d11d0790fe03e6ccf585085d4bea43cc6993ac8</x:v>
      </x:c>
      <x:c r="N33" s="19" t="n">
        <x:v>328</x:v>
      </x:c>
      <x:c r="O33" s="19" t="str">
        <x:v>company-self-fulltext</x:v>
      </x:c>
      <x:c r="P33" s="33" t="b">
        <x:v>1</x:v>
      </x:c>
      <x:c r="Q33" s="19" t="n">
        <x:v>1</x:v>
      </x:c>
      <x:c r="R33" s="19" t="str">
        <x:v>conditional-local-file-unavailable</x:v>
      </x:c>
    </x:row>
    <x:row r="34" ht="21.600000381469727" hidden="0" customHeight="1">
      <x:c r="A34" s="19" t="str">
        <x:v>R01–R04审计</x:v>
      </x:c>
      <x:c r="B34" s="19" t="str">
        <x:v>semidrive-site-e8c2d2fb8f3a</x:v>
      </x:c>
      <x:c r="C34" s="19" t="str">
        <x:v>芯驰科技</x:v>
      </x:c>
      <x:c r="D34" s="19" t="str">
        <x:v>企业官网/企业资讯</x:v>
      </x:c>
      <x:c r="E34" s="19" t="str">
        <x:v>芯驰科技完成近1亿美金C轮融资，加码汽车到具身智能全栈「芯」突破</x:v>
      </x:c>
      <x:c r="F34" s="19" t="str">
        <x:v>芯驰科技</x:v>
      </x:c>
      <x:c r="G34" s="19"/>
      <x:c r="H34" s="19"/>
      <x:c r="I34" s="19" t="str">
        <x:v>2026-05-22</x:v>
      </x:c>
      <x:c r="J34" s="19" t="str">
        <x:v>https://www.semidrive.com/news/view-NDUxMDU=.html</x:v>
      </x:c>
      <x:c r="K34" s="19" t="str">
        <x:v>https://www.semidrive.com/news/view-NDUxMDU=.html</x:v>
      </x:c>
      <x:c r="L34" s="19" t="str">
        <x:v>data/derived/narrative-risk-r01-r04-20260826/evidence/company-site/semidrive/semidrive-site-e8c2d2fb8f3a.txt</x:v>
      </x:c>
      <x:c r="M34" s="19" t="str">
        <x:v>24c356022656a73359270bc1b612dcd43031ee734981ef65972407a745d20292</x:v>
      </x:c>
      <x:c r="N34" s="19" t="n">
        <x:v>441</x:v>
      </x:c>
      <x:c r="O34" s="19" t="str">
        <x:v>company-self-fulltext</x:v>
      </x:c>
      <x:c r="P34" s="33" t="b">
        <x:v>1</x:v>
      </x:c>
      <x:c r="Q34" s="19" t="n">
        <x:v>1</x:v>
      </x:c>
      <x:c r="R34" s="19" t="str">
        <x:v>conditional-local-file-unavailable</x:v>
      </x:c>
    </x:row>
    <x:row r="35" ht="21.600000381469727" hidden="0" customHeight="1">
      <x:c r="A35" s="19" t="str">
        <x:v>R01–R04审计</x:v>
      </x:c>
      <x:c r="B35" s="19" t="str">
        <x:v>semidrive-site-087854d5279d</x:v>
      </x:c>
      <x:c r="C35" s="19" t="str">
        <x:v>芯驰科技</x:v>
      </x:c>
      <x:c r="D35" s="19" t="str">
        <x:v>企业官网/企业资讯</x:v>
      </x:c>
      <x:c r="E35" s="19" t="str">
        <x:v>芯驰E3650获TÜV莱茵ASIL D功能安全产品认证，同步提供全栈ASIL D安全软件方案</x:v>
      </x:c>
      <x:c r="F35" s="19" t="str">
        <x:v>芯驰科技</x:v>
      </x:c>
      <x:c r="G35" s="19"/>
      <x:c r="H35" s="19"/>
      <x:c r="I35" s="19" t="str">
        <x:v>2026-05-22</x:v>
      </x:c>
      <x:c r="J35" s="19" t="str">
        <x:v>https://www.semidrive.com/news/view-NDUwNzE=.html</x:v>
      </x:c>
      <x:c r="K35" s="19" t="str">
        <x:v>https://www.semidrive.com/news/view-NDUwNzE=.html</x:v>
      </x:c>
      <x:c r="L35" s="19" t="str">
        <x:v>data/derived/narrative-risk-r01-r04-20260826/evidence/company-site/semidrive/semidrive-site-087854d5279d.txt</x:v>
      </x:c>
      <x:c r="M35" s="19" t="str">
        <x:v>aeda39154085c222144612c698b9642c5ca5c3271a98e18646866b02eb97b710</x:v>
      </x:c>
      <x:c r="N35" s="19" t="n">
        <x:v>168</x:v>
      </x:c>
      <x:c r="O35" s="19" t="str">
        <x:v>company-self-fulltext</x:v>
      </x:c>
      <x:c r="P35" s="33" t="b">
        <x:v>1</x:v>
      </x:c>
      <x:c r="Q35" s="19" t="n">
        <x:v>1</x:v>
      </x:c>
      <x:c r="R35" s="19" t="str">
        <x:v>conditional-local-file-unavailable</x:v>
      </x:c>
    </x:row>
    <x:row r="36" ht="21.600000381469727" hidden="0" customHeight="1">
      <x:c r="A36" s="19" t="str">
        <x:v>R01–R04审计</x:v>
      </x:c>
      <x:c r="B36" s="19" t="str">
        <x:v>semidrive-site-e6a3c73012b6</x:v>
      </x:c>
      <x:c r="C36" s="19" t="str">
        <x:v>芯驰科技</x:v>
      </x:c>
      <x:c r="D36" s="19" t="str">
        <x:v>企业官网/企业资讯</x:v>
      </x:c>
      <x:c r="E36" s="19" t="str">
        <x:v>战略2.0跃迁，芯驰发布面向具身智能的全栈「芯」方案</x:v>
      </x:c>
      <x:c r="F36" s="19" t="str">
        <x:v>芯驰科技</x:v>
      </x:c>
      <x:c r="G36" s="19"/>
      <x:c r="H36" s="19"/>
      <x:c r="I36" s="19" t="str">
        <x:v>2026-05-22</x:v>
      </x:c>
      <x:c r="J36" s="19" t="str">
        <x:v>https://www.semidrive.com/news/view-NDUwMzc=.html</x:v>
      </x:c>
      <x:c r="K36" s="19" t="str">
        <x:v>https://www.semidrive.com/news/view-NDUwMzc=.html</x:v>
      </x:c>
      <x:c r="L36" s="19" t="str">
        <x:v>data/derived/narrative-risk-r01-r04-20260826/evidence/company-site/semidrive/semidrive-site-e6a3c73012b6.txt</x:v>
      </x:c>
      <x:c r="M36" s="19" t="str">
        <x:v>f6d0cc2cc1a1086130f1645968a7fad572ad94a198a9f155c0d9b9e3a3f7de2e</x:v>
      </x:c>
      <x:c r="N36" s="19" t="n">
        <x:v>751</x:v>
      </x:c>
      <x:c r="O36" s="19" t="str">
        <x:v>company-self-fulltext</x:v>
      </x:c>
      <x:c r="P36" s="33" t="b">
        <x:v>1</x:v>
      </x:c>
      <x:c r="Q36" s="19" t="n">
        <x:v>1</x:v>
      </x:c>
      <x:c r="R36" s="19" t="str">
        <x:v>conditional-local-file-unavailable</x:v>
      </x:c>
    </x:row>
    <x:row r="37" ht="21.600000381469727" hidden="0" customHeight="1">
      <x:c r="A37" s="19" t="str">
        <x:v>R01–R04审计</x:v>
      </x:c>
      <x:c r="B37" s="19" t="str">
        <x:v>semidrive-site-30d92b95d391</x:v>
      </x:c>
      <x:c r="C37" s="19" t="str">
        <x:v>芯驰科技</x:v>
      </x:c>
      <x:c r="D37" s="19" t="str">
        <x:v>企业官网/企业资讯</x:v>
      </x:c>
      <x:c r="E37" s="19" t="str">
        <x:v>生态 | 伊世智能SecIC-HSM固件适配芯驰 E3620芯片，国产首发车规MCU后量子密码算法量产落地</x:v>
      </x:c>
      <x:c r="F37" s="19" t="str">
        <x:v>芯驰科技</x:v>
      </x:c>
      <x:c r="G37" s="19"/>
      <x:c r="H37" s="19"/>
      <x:c r="I37" s="19" t="str">
        <x:v>2026-04-27</x:v>
      </x:c>
      <x:c r="J37" s="19" t="str">
        <x:v>https://www.semidrive.com/news/view-NDUwMDM=.html</x:v>
      </x:c>
      <x:c r="K37" s="19" t="str">
        <x:v>https://www.semidrive.com/news/view-NDUwMDM=.html</x:v>
      </x:c>
      <x:c r="L37" s="19" t="str">
        <x:v>data/derived/narrative-risk-r01-r04-20260826/evidence/company-site/semidrive/semidrive-site-30d92b95d391.txt</x:v>
      </x:c>
      <x:c r="M37" s="19" t="str">
        <x:v>eb5b4bd87bbc49ddce20ebfd3a0bb84ac6e8e9f4edc56cf833f39107fae599fa</x:v>
      </x:c>
      <x:c r="N37" s="19" t="n">
        <x:v>455</x:v>
      </x:c>
      <x:c r="O37" s="19" t="str">
        <x:v>company-self-fulltext</x:v>
      </x:c>
      <x:c r="P37" s="33" t="b">
        <x:v>1</x:v>
      </x:c>
      <x:c r="Q37" s="19" t="n">
        <x:v>1</x:v>
      </x:c>
      <x:c r="R37" s="19" t="str">
        <x:v>conditional-local-file-unavailable</x:v>
      </x:c>
    </x:row>
    <x:row r="38" ht="21.600000381469727" hidden="0" customHeight="1">
      <x:c r="A38" s="19" t="str">
        <x:v>R01–R04审计</x:v>
      </x:c>
      <x:c r="B38" s="19" t="str">
        <x:v>semidrive-site-73ea8c87308b</x:v>
      </x:c>
      <x:c r="C38" s="19" t="str">
        <x:v>芯驰科技</x:v>
      </x:c>
      <x:c r="D38" s="19" t="str">
        <x:v>企业官网/企业资讯</x:v>
      </x:c>
      <x:c r="E38" s="19" t="str">
        <x:v>芯驰科技与ZBO Electronics签署战略合作，加速汽车芯片出海与全球化布局</x:v>
      </x:c>
      <x:c r="F38" s="19" t="str">
        <x:v>芯驰科技</x:v>
      </x:c>
      <x:c r="G38" s="19"/>
      <x:c r="H38" s="19"/>
      <x:c r="I38" s="19" t="str">
        <x:v>2026-04-27</x:v>
      </x:c>
      <x:c r="J38" s="19" t="str">
        <x:v>https://www.semidrive.com/news/view-NDQ5Njk=.html</x:v>
      </x:c>
      <x:c r="K38" s="19" t="str">
        <x:v>https://www.semidrive.com/news/view-NDQ5Njk=.html</x:v>
      </x:c>
      <x:c r="L38" s="19" t="str">
        <x:v>data/derived/narrative-risk-r01-r04-20260826/evidence/company-site/semidrive/semidrive-site-73ea8c87308b.txt</x:v>
      </x:c>
      <x:c r="M38" s="19" t="str">
        <x:v>bbd43583d596d40cbcfef079c6752d107cfa318cb0dcdb6b7b431ca1ea0542c0</x:v>
      </x:c>
      <x:c r="N38" s="19" t="n">
        <x:v>335</x:v>
      </x:c>
      <x:c r="O38" s="19" t="str">
        <x:v>company-self-fulltext</x:v>
      </x:c>
      <x:c r="P38" s="33" t="b">
        <x:v>1</x:v>
      </x:c>
      <x:c r="Q38" s="19" t="n">
        <x:v>1</x:v>
      </x:c>
      <x:c r="R38" s="19" t="str">
        <x:v>conditional-local-file-unavailable</x:v>
      </x:c>
    </x:row>
    <x:row r="39" ht="21.600000381469727" hidden="0" customHeight="1">
      <x:c r="A39" s="19" t="str">
        <x:v>R01–R04审计</x:v>
      </x:c>
      <x:c r="B39" s="19" t="str">
        <x:v>semidrive-site-08a604e040ec</x:v>
      </x:c>
      <x:c r="C39" s="19" t="str">
        <x:v>芯驰科技</x:v>
      </x:c>
      <x:c r="D39" s="19" t="str">
        <x:v>企业官网/企业资讯</x:v>
      </x:c>
      <x:c r="E39" s="19" t="str">
        <x:v>赋能中央超算E/E架构，芯驰重磅发布“中央智控小脑AMU算力基座+IO型区域控制”全套解决方案</x:v>
      </x:c>
      <x:c r="F39" s="19" t="str">
        <x:v>芯驰科技</x:v>
      </x:c>
      <x:c r="G39" s="19"/>
      <x:c r="H39" s="19"/>
      <x:c r="I39" s="19" t="str">
        <x:v>2026-04-26</x:v>
      </x:c>
      <x:c r="J39" s="19" t="str">
        <x:v>https://www.semidrive.com/news/view-NDQ5MzU=.html</x:v>
      </x:c>
      <x:c r="K39" s="19" t="str">
        <x:v>https://www.semidrive.com/news/view-NDQ5MzU=.html</x:v>
      </x:c>
      <x:c r="L39" s="19" t="str">
        <x:v>data/derived/narrative-risk-r01-r04-20260826/evidence/company-site/semidrive/semidrive-site-08a604e040ec.txt</x:v>
      </x:c>
      <x:c r="M39" s="19" t="str">
        <x:v>301be18bf1ac81339545989d882b5057b47d53c44e1c2748c904710ab27034f8</x:v>
      </x:c>
      <x:c r="N39" s="19" t="n">
        <x:v>846</x:v>
      </x:c>
      <x:c r="O39" s="19" t="str">
        <x:v>company-self-fulltext</x:v>
      </x:c>
      <x:c r="P39" s="33" t="b">
        <x:v>1</x:v>
      </x:c>
      <x:c r="Q39" s="19" t="n">
        <x:v>1</x:v>
      </x:c>
      <x:c r="R39" s="19" t="str">
        <x:v>conditional-local-file-unavailable</x:v>
      </x:c>
    </x:row>
    <x:row r="40" ht="21.600000381469727" hidden="0" customHeight="1">
      <x:c r="A40" s="19" t="str">
        <x:v>R01–R04审计</x:v>
      </x:c>
      <x:c r="B40" s="19" t="str">
        <x:v>semidrive-site-86ae0a178473</x:v>
      </x:c>
      <x:c r="C40" s="19" t="str">
        <x:v>芯驰科技</x:v>
      </x:c>
      <x:c r="D40" s="19" t="str">
        <x:v>企业官网/企业资讯</x:v>
      </x:c>
      <x:c r="E40" s="19" t="str">
        <x:v>X9持续精进、X10架构革新，芯驰座舱全场景覆盖夯实量产领先</x:v>
      </x:c>
      <x:c r="F40" s="19" t="str">
        <x:v>芯驰科技</x:v>
      </x:c>
      <x:c r="G40" s="19"/>
      <x:c r="H40" s="19"/>
      <x:c r="I40" s="19" t="str">
        <x:v>2026-04-26</x:v>
      </x:c>
      <x:c r="J40" s="19" t="str">
        <x:v>https://www.semidrive.com/news/view-NDQ5MDE=.html</x:v>
      </x:c>
      <x:c r="K40" s="19" t="str">
        <x:v>https://www.semidrive.com/news/view-NDQ5MDE=.html</x:v>
      </x:c>
      <x:c r="L40" s="19" t="str">
        <x:v>data/derived/narrative-risk-r01-r04-20260826/evidence/company-site/semidrive/semidrive-site-86ae0a178473.txt</x:v>
      </x:c>
      <x:c r="M40" s="19" t="str">
        <x:v>a28fd766bdac737be65d1bbdf65905683a83b44a1dbb7db3d271acf6761d804c</x:v>
      </x:c>
      <x:c r="N40" s="19" t="n">
        <x:v>697</x:v>
      </x:c>
      <x:c r="O40" s="19" t="str">
        <x:v>company-self-fulltext</x:v>
      </x:c>
      <x:c r="P40" s="33" t="b">
        <x:v>1</x:v>
      </x:c>
      <x:c r="Q40" s="19" t="n">
        <x:v>1</x:v>
      </x:c>
      <x:c r="R40" s="19" t="str">
        <x:v>conditional-local-file-unavailable</x:v>
      </x:c>
    </x:row>
    <x:row r="41" ht="21.600000381469727" hidden="0" customHeight="1">
      <x:c r="A41" s="19" t="str">
        <x:v>R01–R04审计</x:v>
      </x:c>
      <x:c r="B41" s="19" t="str">
        <x:v>semidrive-site-51a164fe4313</x:v>
      </x:c>
      <x:c r="C41" s="19" t="str">
        <x:v>芯驰科技</x:v>
      </x:c>
      <x:c r="D41" s="19" t="str">
        <x:v>企业官网/企业资讯</x:v>
      </x:c>
      <x:c r="E41" s="19" t="str">
        <x:v>芯之重器·驰领智行！芯驰科技战略跃迁，从汽车到具身智能全栈「芯」突破</x:v>
      </x:c>
      <x:c r="F41" s="19" t="str">
        <x:v>芯驰科技</x:v>
      </x:c>
      <x:c r="G41" s="19"/>
      <x:c r="H41" s="19"/>
      <x:c r="I41" s="19" t="str">
        <x:v>2026-04-26</x:v>
      </x:c>
      <x:c r="J41" s="19" t="str">
        <x:v>https://www.semidrive.com/news/view-NDQ4Njc=.html</x:v>
      </x:c>
      <x:c r="K41" s="19" t="str">
        <x:v>https://www.semidrive.com/news/view-NDQ4Njc=.html</x:v>
      </x:c>
      <x:c r="L41" s="19" t="str">
        <x:v>data/derived/narrative-risk-r01-r04-20260826/evidence/company-site/semidrive/semidrive-site-51a164fe4313.txt</x:v>
      </x:c>
      <x:c r="M41" s="19" t="str">
        <x:v>0c03a9d3f612462533116a7112325b676d9217e4142a8886802675d410c04f70</x:v>
      </x:c>
      <x:c r="N41" s="19" t="n">
        <x:v>1474</x:v>
      </x:c>
      <x:c r="O41" s="19" t="str">
        <x:v>company-self-fulltext</x:v>
      </x:c>
      <x:c r="P41" s="33" t="b">
        <x:v>1</x:v>
      </x:c>
      <x:c r="Q41" s="19" t="n">
        <x:v>1</x:v>
      </x:c>
      <x:c r="R41" s="19" t="str">
        <x:v>conditional-local-file-unavailable</x:v>
      </x:c>
    </x:row>
    <x:row r="42" ht="21.600000381469727" hidden="0" customHeight="1">
      <x:c r="A42" s="19" t="str">
        <x:v>R01–R04审计</x:v>
      </x:c>
      <x:c r="B42" s="19" t="str">
        <x:v>semidrive-site-ce22f638bce1</x:v>
      </x:c>
      <x:c r="C42" s="19" t="str">
        <x:v>芯驰科技</x:v>
      </x:c>
      <x:c r="D42" s="19" t="str">
        <x:v>企业官网/企业资讯</x:v>
      </x:c>
      <x:c r="E42" s="19" t="str">
        <x:v>芯驰科技荣获华阳通用“优秀供应商奖”，携手共赴新程！</x:v>
      </x:c>
      <x:c r="F42" s="19" t="str">
        <x:v>芯驰科技</x:v>
      </x:c>
      <x:c r="G42" s="19"/>
      <x:c r="H42" s="19"/>
      <x:c r="I42" s="19" t="str">
        <x:v>2026-04-26</x:v>
      </x:c>
      <x:c r="J42" s="19" t="str">
        <x:v>https://www.semidrive.com/news/view-NDQ3MzE=.html</x:v>
      </x:c>
      <x:c r="K42" s="19" t="str">
        <x:v>https://www.semidrive.com/news/view-NDQ3MzE=.html</x:v>
      </x:c>
      <x:c r="L42" s="19" t="str">
        <x:v>data/derived/narrative-risk-r01-r04-20260826/evidence/company-site/semidrive/semidrive-site-ce22f638bce1.txt</x:v>
      </x:c>
      <x:c r="M42" s="19" t="str">
        <x:v>6aaf6ddd7e60279e4103be04f79ee34b6e55b514cbe465e8b172e43f81534c85</x:v>
      </x:c>
      <x:c r="N42" s="19" t="n">
        <x:v>276</x:v>
      </x:c>
      <x:c r="O42" s="19" t="str">
        <x:v>company-self-fulltext</x:v>
      </x:c>
      <x:c r="P42" s="33" t="b">
        <x:v>1</x:v>
      </x:c>
      <x:c r="Q42" s="19" t="n">
        <x:v>1</x:v>
      </x:c>
      <x:c r="R42" s="19" t="str">
        <x:v>conditional-local-file-unavailable</x:v>
      </x:c>
    </x:row>
    <x:row r="43" ht="21.600000381469727" hidden="0" customHeight="1">
      <x:c r="A43" s="19" t="str">
        <x:v>R01–R04审计</x:v>
      </x:c>
      <x:c r="B43" s="19" t="str">
        <x:v>semidrive-site-c11eace89645</x:v>
      </x:c>
      <x:c r="C43" s="19" t="str">
        <x:v>芯驰科技</x:v>
      </x:c>
      <x:c r="D43" s="19" t="str">
        <x:v>企业官网/企业资讯</x:v>
      </x:c>
      <x:c r="E43" s="19" t="str">
        <x:v>芯驰科技仇雨菁获评“年度中国IC产业人物”</x:v>
      </x:c>
      <x:c r="F43" s="19" t="str">
        <x:v>芯驰科技</x:v>
      </x:c>
      <x:c r="G43" s="19"/>
      <x:c r="H43" s="19"/>
      <x:c r="I43" s="19" t="str">
        <x:v>2026-04-26</x:v>
      </x:c>
      <x:c r="J43" s="19" t="str">
        <x:v>https://www.semidrive.com/news/view-NDQ2OTc=.html</x:v>
      </x:c>
      <x:c r="K43" s="19" t="str">
        <x:v>https://www.semidrive.com/news/view-NDQ2OTc=.html</x:v>
      </x:c>
      <x:c r="L43" s="19" t="str">
        <x:v>data/derived/narrative-risk-r01-r04-20260826/evidence/company-site/semidrive/semidrive-site-c11eace89645.txt</x:v>
      </x:c>
      <x:c r="M43" s="19" t="str">
        <x:v>a52faf8f235305ca79f89e81d2686ead883e371b08a61838af7324484166d969</x:v>
      </x:c>
      <x:c r="N43" s="19" t="n">
        <x:v>457</x:v>
      </x:c>
      <x:c r="O43" s="19" t="str">
        <x:v>company-self-fulltext</x:v>
      </x:c>
      <x:c r="P43" s="33" t="b">
        <x:v>1</x:v>
      </x:c>
      <x:c r="Q43" s="19" t="n">
        <x:v>1</x:v>
      </x:c>
      <x:c r="R43" s="19" t="str">
        <x:v>conditional-local-file-unavailable</x:v>
      </x:c>
    </x:row>
    <x:row r="44" ht="21.600000381469727" hidden="0" customHeight="1">
      <x:c r="A44" s="19" t="str">
        <x:v>R01–R04审计</x:v>
      </x:c>
      <x:c r="B44" s="19" t="str">
        <x:v>semidrive-site-0d5e25b7ced9</x:v>
      </x:c>
      <x:c r="C44" s="19" t="str">
        <x:v>芯驰科技</x:v>
      </x:c>
      <x:c r="D44" s="19" t="str">
        <x:v>企业官网/企业资讯</x:v>
      </x:c>
      <x:c r="E44" s="19" t="str">
        <x:v>芯驰科技与Elektrobit完成E3620与E3650双芯片适配</x:v>
      </x:c>
      <x:c r="F44" s="19" t="str">
        <x:v>芯驰科技</x:v>
      </x:c>
      <x:c r="G44" s="19"/>
      <x:c r="H44" s="19"/>
      <x:c r="I44" s="19" t="str">
        <x:v>2026-04-26</x:v>
      </x:c>
      <x:c r="J44" s="19" t="str">
        <x:v>https://www.semidrive.com/news/view-NDQ4MzM=.html</x:v>
      </x:c>
      <x:c r="K44" s="19" t="str">
        <x:v>https://www.semidrive.com/news/view-NDQ4MzM=.html</x:v>
      </x:c>
      <x:c r="L44" s="19" t="str">
        <x:v>data/derived/narrative-risk-r01-r04-20260826/evidence/company-site/semidrive/semidrive-site-0d5e25b7ced9.txt</x:v>
      </x:c>
      <x:c r="M44" s="19" t="str">
        <x:v>ca49c7bd16b6459356c256626623177e5ab7f33b01f569433ca00fc3867494bc</x:v>
      </x:c>
      <x:c r="N44" s="19" t="n">
        <x:v>408</x:v>
      </x:c>
      <x:c r="O44" s="19" t="str">
        <x:v>company-self-fulltext</x:v>
      </x:c>
      <x:c r="P44" s="33" t="b">
        <x:v>1</x:v>
      </x:c>
      <x:c r="Q44" s="19" t="n">
        <x:v>1</x:v>
      </x:c>
      <x:c r="R44" s="19" t="str">
        <x:v>conditional-local-file-unavailable</x:v>
      </x:c>
    </x:row>
    <x:row r="45" ht="21.600000381469727" hidden="0" customHeight="1">
      <x:c r="A45" s="19" t="str">
        <x:v>R01–R04审计</x:v>
      </x:c>
      <x:c r="B45" s="19" t="str">
        <x:v>semidrive-site-db256e2ed2fb</x:v>
      </x:c>
      <x:c r="C45" s="19" t="str">
        <x:v>芯驰科技</x:v>
      </x:c>
      <x:c r="D45" s="19" t="str">
        <x:v>企业官网/企业资讯</x:v>
      </x:c>
      <x:c r="E45" s="19" t="str">
        <x:v>车展前瞻｜PLS UDE 全面支持芯驰 E3 系列车规 MCU，赋能汽车电子高效开发</x:v>
      </x:c>
      <x:c r="F45" s="19" t="str">
        <x:v>芯驰科技</x:v>
      </x:c>
      <x:c r="G45" s="19"/>
      <x:c r="H45" s="19"/>
      <x:c r="I45" s="19" t="str">
        <x:v>2026-04-26</x:v>
      </x:c>
      <x:c r="J45" s="19" t="str">
        <x:v>https://www.semidrive.com/news/view-NDQ3OTk=.html</x:v>
      </x:c>
      <x:c r="K45" s="19" t="str">
        <x:v>https://www.semidrive.com/news/view-NDQ3OTk=.html</x:v>
      </x:c>
      <x:c r="L45" s="19" t="str">
        <x:v>data/derived/narrative-risk-r01-r04-20260826/evidence/company-site/semidrive/semidrive-site-db256e2ed2fb.txt</x:v>
      </x:c>
      <x:c r="M45" s="19" t="str">
        <x:v>ec27c147a5eadbd60904556768b8bab22eaa9fe6178b08b1520fd3222973748a</x:v>
      </x:c>
      <x:c r="N45" s="19" t="n">
        <x:v>370</x:v>
      </x:c>
      <x:c r="O45" s="19" t="str">
        <x:v>company-self-fulltext</x:v>
      </x:c>
      <x:c r="P45" s="33" t="b">
        <x:v>1</x:v>
      </x:c>
      <x:c r="Q45" s="19" t="n">
        <x:v>1</x:v>
      </x:c>
      <x:c r="R45" s="19" t="str">
        <x:v>conditional-local-file-unavailable</x:v>
      </x:c>
    </x:row>
    <x:row r="46" ht="21.600000381469727" hidden="0" customHeight="1">
      <x:c r="A46" s="19" t="str">
        <x:v>R01–R04审计</x:v>
      </x:c>
      <x:c r="B46" s="19" t="str">
        <x:v>semidrive-site-08c9aacd28ce</x:v>
      </x:c>
      <x:c r="C46" s="19" t="str">
        <x:v>芯驰科技</x:v>
      </x:c>
      <x:c r="D46" s="19" t="str">
        <x:v>企业官网/企业资讯</x:v>
      </x:c>
      <x:c r="E46" s="19" t="str">
        <x:v>劳特巴赫 TRACE32® 全面适配芯驰 E3620 智控 MCU，全系车规芯片开发再提速</x:v>
      </x:c>
      <x:c r="F46" s="19" t="str">
        <x:v>芯驰科技</x:v>
      </x:c>
      <x:c r="G46" s="19"/>
      <x:c r="H46" s="19"/>
      <x:c r="I46" s="19" t="str">
        <x:v>2026-04-26</x:v>
      </x:c>
      <x:c r="J46" s="19" t="str">
        <x:v>https://www.semidrive.com/news/view-NDQ3NjU=.html</x:v>
      </x:c>
      <x:c r="K46" s="19" t="str">
        <x:v>https://www.semidrive.com/news/view-NDQ3NjU=.html</x:v>
      </x:c>
      <x:c r="L46" s="19" t="str">
        <x:v>data/derived/narrative-risk-r01-r04-20260826/evidence/company-site/semidrive/semidrive-site-08c9aacd28ce.txt</x:v>
      </x:c>
      <x:c r="M46" s="19" t="str">
        <x:v>523cb0e034c0562f6186b68240669c1a88ea1c9bd4649f897bfe94cccab633a5</x:v>
      </x:c>
      <x:c r="N46" s="19" t="n">
        <x:v>300</x:v>
      </x:c>
      <x:c r="O46" s="19" t="str">
        <x:v>company-self-fulltext</x:v>
      </x:c>
      <x:c r="P46" s="33" t="b">
        <x:v>1</x:v>
      </x:c>
      <x:c r="Q46" s="19" t="n">
        <x:v>1</x:v>
      </x:c>
      <x:c r="R46" s="19" t="str">
        <x:v>conditional-local-file-unavailable</x:v>
      </x:c>
    </x:row>
    <x:row r="47" ht="21.600000381469727" hidden="0" customHeight="1">
      <x:c r="A47" s="19" t="str">
        <x:v>R01–R04审计</x:v>
      </x:c>
      <x:c r="B47" s="19" t="str">
        <x:v>semidrive-site-a365b41fc882</x:v>
      </x:c>
      <x:c r="C47" s="19" t="str">
        <x:v>芯驰科技</x:v>
      </x:c>
      <x:c r="D47" s="19" t="str">
        <x:v>企业官网/企业资讯</x:v>
      </x:c>
      <x:c r="E47" s="19" t="str">
        <x:v>芯驰科技董事长仇雨菁建言两会｜攻坚汽车芯片深水区</x:v>
      </x:c>
      <x:c r="F47" s="19" t="str">
        <x:v>芯驰科技</x:v>
      </x:c>
      <x:c r="G47" s="19"/>
      <x:c r="H47" s="19"/>
      <x:c r="I47" s="19" t="str">
        <x:v>2026-03-06</x:v>
      </x:c>
      <x:c r="J47" s="19" t="str">
        <x:v>https://www.semidrive.com/news/view-NDQ2Mjk=.html</x:v>
      </x:c>
      <x:c r="K47" s="19" t="str">
        <x:v>https://www.semidrive.com/news/view-NDQ2Mjk=.html</x:v>
      </x:c>
      <x:c r="L47" s="19" t="str">
        <x:v>data/derived/narrative-risk-r01-r04-20260826/evidence/company-site/semidrive/semidrive-site-a365b41fc882.txt</x:v>
      </x:c>
      <x:c r="M47" s="19" t="str">
        <x:v>f4a0299f1f3e59366e3b1e3f256859554e7041c361fe92e599fdc8d692f2a9a1</x:v>
      </x:c>
      <x:c r="N47" s="19" t="n">
        <x:v>301</x:v>
      </x:c>
      <x:c r="O47" s="19" t="str">
        <x:v>company-self-fulltext</x:v>
      </x:c>
      <x:c r="P47" s="33" t="b">
        <x:v>1</x:v>
      </x:c>
      <x:c r="Q47" s="19" t="n">
        <x:v>1</x:v>
      </x:c>
      <x:c r="R47" s="19" t="str">
        <x:v>conditional-local-file-unavailable</x:v>
      </x:c>
    </x:row>
    <x:row r="48" ht="21.600000381469727" hidden="0" customHeight="1">
      <x:c r="A48" s="19" t="str">
        <x:v>R01–R04审计</x:v>
      </x:c>
      <x:c r="B48" s="19" t="str">
        <x:v>semidrive-site-9853f645d6e5</x:v>
      </x:c>
      <x:c r="C48" s="19" t="str">
        <x:v>芯驰科技</x:v>
      </x:c>
      <x:c r="D48" s="19" t="str">
        <x:v>企业官网/企业资讯</x:v>
      </x:c>
      <x:c r="E48" s="19" t="str">
        <x:v>中国车市“芯”版图再扩容：本土企业稳居智能座舱芯片第一梯队</x:v>
      </x:c>
      <x:c r="F48" s="19" t="str">
        <x:v>芯驰科技</x:v>
      </x:c>
      <x:c r="G48" s="19"/>
      <x:c r="H48" s="19"/>
      <x:c r="I48" s="19" t="str">
        <x:v>2026-03-02</x:v>
      </x:c>
      <x:c r="J48" s="19" t="str">
        <x:v>https://www.semidrive.com/news/view-NDQ1OTU=.html</x:v>
      </x:c>
      <x:c r="K48" s="19" t="str">
        <x:v>https://www.semidrive.com/news/view-NDQ1OTU=.html</x:v>
      </x:c>
      <x:c r="L48" s="19" t="str">
        <x:v>data/derived/narrative-risk-r01-r04-20260826/evidence/company-site/semidrive/semidrive-site-9853f645d6e5.txt</x:v>
      </x:c>
      <x:c r="M48" s="19" t="str">
        <x:v>8b9e4900bbad696bc3f2b332b5f6649bcb088bbd4b0c8171d5e6dd8a7a1ae294</x:v>
      </x:c>
      <x:c r="N48" s="19" t="n">
        <x:v>551</x:v>
      </x:c>
      <x:c r="O48" s="19" t="str">
        <x:v>company-self-fulltext</x:v>
      </x:c>
      <x:c r="P48" s="33" t="b">
        <x:v>1</x:v>
      </x:c>
      <x:c r="Q48" s="19" t="n">
        <x:v>1</x:v>
      </x:c>
      <x:c r="R48" s="19" t="str">
        <x:v>conditional-local-file-unavailable</x:v>
      </x:c>
    </x:row>
    <x:row r="49" ht="21.600000381469727" hidden="0" customHeight="1">
      <x:c r="A49" s="19" t="str">
        <x:v>R01–R04审计</x:v>
      </x:c>
      <x:c r="B49" s="19" t="str">
        <x:v>semidrive-site-2e15242925d5</x:v>
      </x:c>
      <x:c r="C49" s="19" t="str">
        <x:v>芯驰科技</x:v>
      </x:c>
      <x:c r="D49" s="19" t="str">
        <x:v>企业官网/企业资讯</x:v>
      </x:c>
      <x:c r="E49" s="19" t="str">
        <x:v>搭载主流车型超过150款！北京亦庄企业车规芯片量产交付突破1100万片</x:v>
      </x:c>
      <x:c r="F49" s="19" t="str">
        <x:v>芯驰科技</x:v>
      </x:c>
      <x:c r="G49" s="19"/>
      <x:c r="H49" s="19"/>
      <x:c r="I49" s="19" t="str">
        <x:v>2026-01-22</x:v>
      </x:c>
      <x:c r="J49" s="19" t="str">
        <x:v>https://www.semidrive.com/news/view-NDQ1NjE=.html</x:v>
      </x:c>
      <x:c r="K49" s="19" t="str">
        <x:v>https://www.semidrive.com/news/view-NDQ1NjE=.html</x:v>
      </x:c>
      <x:c r="L49" s="19" t="str">
        <x:v>data/derived/narrative-risk-r01-r04-20260826/evidence/company-site/semidrive/semidrive-site-2e15242925d5.txt</x:v>
      </x:c>
      <x:c r="M49" s="19" t="str">
        <x:v>6cd7437f41f91b2c5572c96035c958a5c934d1c1d5dcf5fa0b82d3aec47db85c</x:v>
      </x:c>
      <x:c r="N49" s="19" t="n">
        <x:v>524</x:v>
      </x:c>
      <x:c r="O49" s="19" t="str">
        <x:v>company-self-fulltext</x:v>
      </x:c>
      <x:c r="P49" s="33" t="b">
        <x:v>1</x:v>
      </x:c>
      <x:c r="Q49" s="19" t="n">
        <x:v>1</x:v>
      </x:c>
      <x:c r="R49" s="19" t="str">
        <x:v>conditional-local-file-unavailable</x:v>
      </x:c>
    </x:row>
    <x:row r="50" ht="21.600000381469727" hidden="0" customHeight="1">
      <x:c r="A50" s="19" t="str">
        <x:v>R01–R04审计</x:v>
      </x:c>
      <x:c r="B50" s="19" t="str">
        <x:v>semidrive-site-a196a0455aa7</x:v>
      </x:c>
      <x:c r="C50" s="19" t="str">
        <x:v>芯驰科技</x:v>
      </x:c>
      <x:c r="D50" s="19" t="str">
        <x:v>企业官网/企业资讯</x:v>
      </x:c>
      <x:c r="E50" s="19" t="str">
        <x:v>芯驰参加中国汽车芯片联盟2025大会，获评“突出贡献单位”</x:v>
      </x:c>
      <x:c r="F50" s="19" t="str">
        <x:v>芯驰科技</x:v>
      </x:c>
      <x:c r="G50" s="19"/>
      <x:c r="H50" s="19"/>
      <x:c r="I50" s="19" t="str">
        <x:v>2025-12-22</x:v>
      </x:c>
      <x:c r="J50" s="19" t="str">
        <x:v>https://www.semidrive.com/news/view-NDQ1Mjc=.html</x:v>
      </x:c>
      <x:c r="K50" s="19" t="str">
        <x:v>https://www.semidrive.com/news/view-NDQ1Mjc=.html</x:v>
      </x:c>
      <x:c r="L50" s="19" t="str">
        <x:v>data/derived/narrative-risk-r01-r04-20260826/evidence/company-site/semidrive/semidrive-site-a196a0455aa7.txt</x:v>
      </x:c>
      <x:c r="M50" s="19" t="str">
        <x:v>46f4aa4e66eb9acbc37aff1b6e0e8f94c3ff746bd3aa5e4737d5d369e1c4cfd7</x:v>
      </x:c>
      <x:c r="N50" s="19" t="n">
        <x:v>386</x:v>
      </x:c>
      <x:c r="O50" s="19" t="str">
        <x:v>company-self-fulltext</x:v>
      </x:c>
      <x:c r="P50" s="33" t="b">
        <x:v>1</x:v>
      </x:c>
      <x:c r="Q50" s="19" t="n">
        <x:v>1</x:v>
      </x:c>
      <x:c r="R50" s="19" t="str">
        <x:v>conditional-local-file-unavailable</x:v>
      </x:c>
    </x:row>
    <x:row r="51" ht="21.600000381469727" hidden="0" customHeight="1">
      <x:c r="A51" s="19" t="str">
        <x:v>R01–R04审计</x:v>
      </x:c>
      <x:c r="B51" s="19" t="str">
        <x:v>semidrive-site-e1c2a53ae353</x:v>
      </x:c>
      <x:c r="C51" s="19" t="str">
        <x:v>芯驰科技</x:v>
      </x:c>
      <x:c r="D51" s="19" t="str">
        <x:v>企业官网/企业资讯</x:v>
      </x:c>
      <x:c r="E51" s="19" t="str">
        <x:v>芯驰受邀参加QNX 2025中国年度开发者大会，携手赋能座舱未来</x:v>
      </x:c>
      <x:c r="F51" s="19" t="str">
        <x:v>芯驰科技</x:v>
      </x:c>
      <x:c r="G51" s="19"/>
      <x:c r="H51" s="19"/>
      <x:c r="I51" s="19" t="str">
        <x:v>2025-12-04</x:v>
      </x:c>
      <x:c r="J51" s="19" t="str">
        <x:v>https://www.semidrive.com/news/view-NDQ0OTM=.html</x:v>
      </x:c>
      <x:c r="K51" s="19" t="str">
        <x:v>https://www.semidrive.com/news/view-NDQ0OTM=.html</x:v>
      </x:c>
      <x:c r="L51" s="19" t="str">
        <x:v>data/derived/narrative-risk-r01-r04-20260826/evidence/company-site/semidrive/semidrive-site-e1c2a53ae353.txt</x:v>
      </x:c>
      <x:c r="M51" s="19" t="str">
        <x:v>9dd277060ccf8a4ed6e71c7ce818b95a29a72500ce8ca04da5be6d002bb8cb4c</x:v>
      </x:c>
      <x:c r="N51" s="19" t="n">
        <x:v>437</x:v>
      </x:c>
      <x:c r="O51" s="19" t="str">
        <x:v>company-self-fulltext</x:v>
      </x:c>
      <x:c r="P51" s="33" t="b">
        <x:v>1</x:v>
      </x:c>
      <x:c r="Q51" s="19" t="n">
        <x:v>1</x:v>
      </x:c>
      <x:c r="R51" s="19" t="str">
        <x:v>conditional-local-file-unavailable</x:v>
      </x:c>
    </x:row>
    <x:row r="52" ht="21.600000381469727" hidden="0" customHeight="1">
      <x:c r="A52" s="19" t="str">
        <x:v>R01–R04审计</x:v>
      </x:c>
      <x:c r="B52" s="19" t="str">
        <x:v>semidrive-site-69ab4eb1b8f2</x:v>
      </x:c>
      <x:c r="C52" s="19" t="str">
        <x:v>芯驰科技</x:v>
      </x:c>
      <x:c r="D52" s="19" t="str">
        <x:v>企业官网/企业资讯</x:v>
      </x:c>
      <x:c r="E52" s="19" t="str">
        <x:v>技术专栏 | 芯驰E3650：为理想星环OS保驾护航（一）</x:v>
      </x:c>
      <x:c r="F52" s="19" t="str">
        <x:v>芯驰科技</x:v>
      </x:c>
      <x:c r="G52" s="19"/>
      <x:c r="H52" s="19"/>
      <x:c r="I52" s="19" t="str">
        <x:v>2025-11-26</x:v>
      </x:c>
      <x:c r="J52" s="19" t="str">
        <x:v>https://www.semidrive.com/news/view-NDQ0NTk=.html</x:v>
      </x:c>
      <x:c r="K52" s="19" t="str">
        <x:v>https://www.semidrive.com/news/view-NDQ0NTk=.html</x:v>
      </x:c>
      <x:c r="L52" s="19" t="str">
        <x:v>data/derived/narrative-risk-r01-r04-20260826/evidence/company-site/semidrive/semidrive-site-69ab4eb1b8f2.txt</x:v>
      </x:c>
      <x:c r="M52" s="19" t="str">
        <x:v>6c8e00246a0aeddcf9aacec31952eb86c4deb54a90d704a4a56c59d14e8baaab</x:v>
      </x:c>
      <x:c r="N52" s="19" t="n">
        <x:v>1307</x:v>
      </x:c>
      <x:c r="O52" s="19" t="str">
        <x:v>company-self-fulltext</x:v>
      </x:c>
      <x:c r="P52" s="33" t="b">
        <x:v>1</x:v>
      </x:c>
      <x:c r="Q52" s="19" t="n">
        <x:v>1</x:v>
      </x:c>
      <x:c r="R52" s="19" t="str">
        <x:v>conditional-local-file-unavailable</x:v>
      </x:c>
    </x:row>
    <x:row r="53" ht="21.600000381469727" hidden="0" customHeight="1">
      <x:c r="A53" s="19" t="str">
        <x:v>R01–R04审计</x:v>
      </x:c>
      <x:c r="B53" s="19" t="str">
        <x:v>semidrive-site-db5d23625aa3</x:v>
      </x:c>
      <x:c r="C53" s="19" t="str">
        <x:v>芯驰科技</x:v>
      </x:c>
      <x:c r="D53" s="19" t="str">
        <x:v>企业官网/企业资讯</x:v>
      </x:c>
      <x:c r="E53" s="19" t="str">
        <x:v>芯驰E3620B开启送样，助力车企将先进E/E架构加速普及至海量车型</x:v>
      </x:c>
      <x:c r="F53" s="19" t="str">
        <x:v>芯驰科技</x:v>
      </x:c>
      <x:c r="G53" s="19"/>
      <x:c r="H53" s="19"/>
      <x:c r="I53" s="19" t="str">
        <x:v>2025-11-18</x:v>
      </x:c>
      <x:c r="J53" s="19" t="str">
        <x:v>https://www.semidrive.com/news/view-NDQ0MjU=.html</x:v>
      </x:c>
      <x:c r="K53" s="19" t="str">
        <x:v>https://www.semidrive.com/news/view-NDQ0MjU=.html</x:v>
      </x:c>
      <x:c r="L53" s="19" t="str">
        <x:v>data/derived/narrative-risk-r01-r04-20260826/evidence/company-site/semidrive/semidrive-site-db5d23625aa3.txt</x:v>
      </x:c>
      <x:c r="M53" s="19" t="str">
        <x:v>341c53db2b567bc578f0d22cd240792d1c542199aecd25650a1d104393ec79dc</x:v>
      </x:c>
      <x:c r="N53" s="19" t="n">
        <x:v>293</x:v>
      </x:c>
      <x:c r="O53" s="19" t="str">
        <x:v>company-self-fulltext</x:v>
      </x:c>
      <x:c r="P53" s="33" t="b">
        <x:v>1</x:v>
      </x:c>
      <x:c r="Q53" s="19" t="n">
        <x:v>1</x:v>
      </x:c>
      <x:c r="R53" s="19" t="str">
        <x:v>conditional-local-file-unavailable</x:v>
      </x:c>
    </x:row>
    <x:row r="54" ht="21.600000381469727" hidden="0" customHeight="1">
      <x:c r="A54" s="19" t="str">
        <x:v>R01–R04审计</x:v>
      </x:c>
      <x:c r="B54" s="19" t="str">
        <x:v>semidrive-site-4d592335807f</x:v>
      </x:c>
      <x:c r="C54" s="19" t="str">
        <x:v>芯驰科技</x:v>
      </x:c>
      <x:c r="D54" s="19" t="str">
        <x:v>企业官网/企业资讯</x:v>
      </x:c>
      <x:c r="E54" s="19" t="str">
        <x:v>芯驰E3620P开启送样，动力系统高端MCU再迎里程碑</x:v>
      </x:c>
      <x:c r="F54" s="19" t="str">
        <x:v>芯驰科技</x:v>
      </x:c>
      <x:c r="G54" s="19"/>
      <x:c r="H54" s="19"/>
      <x:c r="I54" s="19" t="str">
        <x:v>2025-11-08</x:v>
      </x:c>
      <x:c r="J54" s="19" t="str">
        <x:v>https://www.semidrive.com/news/view-NDQzOTE=.html</x:v>
      </x:c>
      <x:c r="K54" s="19" t="str">
        <x:v>https://www.semidrive.com/news/view-NDQzOTE=.html</x:v>
      </x:c>
      <x:c r="L54" s="19" t="str">
        <x:v>data/derived/narrative-risk-r01-r04-20260826/evidence/company-site/semidrive/semidrive-site-4d592335807f.txt</x:v>
      </x:c>
      <x:c r="M54" s="19" t="str">
        <x:v>ce1d04131b1828a64f93d2f9b124aaff47bcd748d705d9a649b5481b1e2881ea</x:v>
      </x:c>
      <x:c r="N54" s="19" t="n">
        <x:v>455</x:v>
      </x:c>
      <x:c r="O54" s="19" t="str">
        <x:v>company-self-fulltext</x:v>
      </x:c>
      <x:c r="P54" s="33" t="b">
        <x:v>1</x:v>
      </x:c>
      <x:c r="Q54" s="19" t="n">
        <x:v>1</x:v>
      </x:c>
      <x:c r="R54" s="19" t="str">
        <x:v>conditional-local-file-unavailable</x:v>
      </x:c>
    </x:row>
    <x:row r="55" ht="21.600000381469727" hidden="0" customHeight="1">
      <x:c r="A55" s="19" t="str">
        <x:v>R01–R04审计</x:v>
      </x:c>
      <x:c r="B55" s="19" t="str">
        <x:v>semidrive-site-2f078ab9bfcb</x:v>
      </x:c>
      <x:c r="C55" s="19" t="str">
        <x:v>芯驰科技</x:v>
      </x:c>
      <x:c r="D55" s="19" t="str">
        <x:v>企业官网/企业资讯</x:v>
      </x:c>
      <x:c r="E55" s="19" t="str">
        <x:v>芯驰科技仇雨菁荣膺“中国汽车产业影响力人物奖”</x:v>
      </x:c>
      <x:c r="F55" s="19" t="str">
        <x:v>芯驰科技</x:v>
      </x:c>
      <x:c r="G55" s="19"/>
      <x:c r="H55" s="19"/>
      <x:c r="I55" s="19" t="str">
        <x:v>2025-10-31</x:v>
      </x:c>
      <x:c r="J55" s="19" t="str">
        <x:v>https://www.semidrive.com/news/view-NDQzNTc=.html</x:v>
      </x:c>
      <x:c r="K55" s="19" t="str">
        <x:v>https://www.semidrive.com/news/view-NDQzNTc=.html</x:v>
      </x:c>
      <x:c r="L55" s="19" t="str">
        <x:v>data/derived/narrative-risk-r01-r04-20260826/evidence/company-site/semidrive/semidrive-site-2f078ab9bfcb.txt</x:v>
      </x:c>
      <x:c r="M55" s="19" t="str">
        <x:v>f423e7ca384fd3c0a00cc115e9a5f5a092654c59ff4002612bffc3f4710ca4b6</x:v>
      </x:c>
      <x:c r="N55" s="19" t="n">
        <x:v>279</x:v>
      </x:c>
      <x:c r="O55" s="19" t="str">
        <x:v>company-self-fulltext</x:v>
      </x:c>
      <x:c r="P55" s="33" t="b">
        <x:v>1</x:v>
      </x:c>
      <x:c r="Q55" s="19" t="n">
        <x:v>1</x:v>
      </x:c>
      <x:c r="R55" s="19" t="str">
        <x:v>conditional-local-file-unavailable</x:v>
      </x:c>
    </x:row>
    <x:row r="56" ht="21.600000381469727" hidden="0" customHeight="1">
      <x:c r="A56" s="19" t="str">
        <x:v>R01–R04审计</x:v>
      </x:c>
      <x:c r="B56" s="19" t="str">
        <x:v>semidrive-site-fb7c3f1acf9d</x:v>
      </x:c>
      <x:c r="C56" s="19" t="str">
        <x:v>芯驰科技</x:v>
      </x:c>
      <x:c r="D56" s="19" t="str">
        <x:v>企业官网/企业资讯</x:v>
      </x:c>
      <x:c r="E56" s="19" t="str">
        <x:v>SAECCE 2025｜芯驰科技仇雨菁：用“芯”赋能汽车电子电气架构升级和软硬协同生态</x:v>
      </x:c>
      <x:c r="F56" s="19" t="str">
        <x:v>芯驰科技</x:v>
      </x:c>
      <x:c r="G56" s="19"/>
      <x:c r="H56" s="19"/>
      <x:c r="I56" s="19" t="str">
        <x:v>2025-10-31</x:v>
      </x:c>
      <x:c r="J56" s="19" t="str">
        <x:v>https://www.semidrive.com/news/view-NDQzMjM=.html</x:v>
      </x:c>
      <x:c r="K56" s="19" t="str">
        <x:v>https://www.semidrive.com/news/view-NDQzMjM=.html</x:v>
      </x:c>
      <x:c r="L56" s="19" t="str">
        <x:v>data/derived/narrative-risk-r01-r04-20260826/evidence/company-site/semidrive/semidrive-site-fb7c3f1acf9d.txt</x:v>
      </x:c>
      <x:c r="M56" s="19" t="str">
        <x:v>4d6ae56d2ed4b30a9120d7e91f0a662038a39f9704e5c38ffe56046af3c759b5</x:v>
      </x:c>
      <x:c r="N56" s="19" t="n">
        <x:v>304</x:v>
      </x:c>
      <x:c r="O56" s="19" t="str">
        <x:v>company-self-fulltext</x:v>
      </x:c>
      <x:c r="P56" s="33" t="b">
        <x:v>1</x:v>
      </x:c>
      <x:c r="Q56" s="19" t="n">
        <x:v>1</x:v>
      </x:c>
      <x:c r="R56" s="19" t="str">
        <x:v>conditional-local-file-unavailable</x:v>
      </x:c>
    </x:row>
    <x:row r="57" ht="21.600000381469727" hidden="0" customHeight="1">
      <x:c r="A57" s="19" t="str">
        <x:v>R01–R04审计</x:v>
      </x:c>
      <x:c r="B57" s="19" t="str">
        <x:v>semidrive-site-cf7407f9cd66</x:v>
      </x:c>
      <x:c r="C57" s="19" t="str">
        <x:v>芯驰科技</x:v>
      </x:c>
      <x:c r="D57" s="19" t="str">
        <x:v>企业官网/企业资讯</x:v>
      </x:c>
      <x:c r="E57" s="19" t="str">
        <x:v>芯驰科技E3650正式量产，22纳米旗舰MCU率先领跑下一代汽车架构</x:v>
      </x:c>
      <x:c r="F57" s="19" t="str">
        <x:v>芯驰科技</x:v>
      </x:c>
      <x:c r="G57" s="19"/>
      <x:c r="H57" s="19"/>
      <x:c r="I57" s="19" t="str">
        <x:v>2025-10-24</x:v>
      </x:c>
      <x:c r="J57" s="19" t="str">
        <x:v>https://www.semidrive.com/news/view-NDQyODk=.html</x:v>
      </x:c>
      <x:c r="K57" s="19" t="str">
        <x:v>https://www.semidrive.com/news/view-NDQyODk=.html</x:v>
      </x:c>
      <x:c r="L57" s="19" t="str">
        <x:v>data/derived/narrative-risk-r01-r04-20260826/evidence/company-site/semidrive/semidrive-site-cf7407f9cd66.txt</x:v>
      </x:c>
      <x:c r="M57" s="19" t="str">
        <x:v>ad4f2384b2cde6950d18e9e48f97b2d1bc4e0807311d575809d6e713fbbe98d6</x:v>
      </x:c>
      <x:c r="N57" s="19" t="n">
        <x:v>815</x:v>
      </x:c>
      <x:c r="O57" s="19" t="str">
        <x:v>company-self-fulltext</x:v>
      </x:c>
      <x:c r="P57" s="33" t="b">
        <x:v>1</x:v>
      </x:c>
      <x:c r="Q57" s="19" t="n">
        <x:v>1</x:v>
      </x:c>
      <x:c r="R57" s="19" t="str">
        <x:v>conditional-local-file-unavailable</x:v>
      </x:c>
    </x:row>
    <x:row r="58" ht="15" hidden="0" customHeight="1">
      <x:c r="A58" s="19" t="str">
        <x:v>R01–R04审计</x:v>
      </x:c>
      <x:c r="B58" s="19" t="str">
        <x:v>media-candidate-cambricon-78398bdc8a1d</x:v>
      </x:c>
      <x:c r="C58" s="19" t="str">
        <x:v>寒武纪</x:v>
      </x:c>
      <x:c r="D58" s="19" t="str">
        <x:v>权威媒体候选</x:v>
      </x:c>
      <x:c r="E58" s="19" t="str">
        <x:v>神秘模型“牛来”引爆全球开发者圈，人工智能板块强势上涨！</x:v>
      </x:c>
      <x:c r="F58" s="19"/>
      <x:c r="G58" s="19"/>
      <x:c r="H58" s="19"/>
      <x:c r="I58" s="19" t="str">
        <x:v>2026-08-25</x:v>
      </x:c>
      <x:c r="J58" s="19" t="str">
        <x:v>https://www.p5w.net/roll/zqzx/202608/t20260825_6498056.htm</x:v>
      </x:c>
      <x:c r="K58" s="19" t="str">
        <x:v>https://www.p5w.net/roll/zqzx/202608/t20260825_6498056.htm</x:v>
      </x:c>
      <x:c r="L58" s="19"/>
      <x:c r="M58" s="19"/>
      <x:c r="N58" s="19"/>
      <x:c r="O58" s="19" t="str">
        <x:v>candidate-only</x:v>
      </x:c>
      <x:c r="P58" s="33" t="b">
        <x:v>0</x:v>
      </x:c>
      <x:c r="Q58" s="19" t="n">
        <x:v>1</x:v>
      </x:c>
      <x:c r="R58" s="19" t="str">
        <x:v>conditional-local-file-unavailable</x:v>
      </x:c>
    </x:row>
    <x:row r="59" ht="15" hidden="0" customHeight="1">
      <x:c r="A59" s="19" t="str">
        <x:v>R01–R04审计</x:v>
      </x:c>
      <x:c r="B59" s="19" t="str">
        <x:v>media-candidate-cambricon-4415f8c9ee10</x:v>
      </x:c>
      <x:c r="C59" s="19" t="str">
        <x:v>寒武纪</x:v>
      </x:c>
      <x:c r="D59" s="19" t="str">
        <x:v>权威媒体候选</x:v>
      </x:c>
      <x:c r="E59" s="19" t="str">
        <x:v>科大讯飞刘庆峰：令投资者遗憾，在本轮大模型热点中缺位</x:v>
      </x:c>
      <x:c r="F59" s="19"/>
      <x:c r="G59" s="19"/>
      <x:c r="H59" s="19"/>
      <x:c r="I59" s="19" t="str">
        <x:v>2026-08-21</x:v>
      </x:c>
      <x:c r="J59" s="19" t="str">
        <x:v>https://www.p5w.net/roll/lanjinger/202608/t20260821_6496550.htm</x:v>
      </x:c>
      <x:c r="K59" s="19" t="str">
        <x:v>https://www.p5w.net/roll/lanjinger/202608/t20260821_6496550.htm</x:v>
      </x:c>
      <x:c r="L59" s="19"/>
      <x:c r="M59" s="19"/>
      <x:c r="N59" s="19"/>
      <x:c r="O59" s="19" t="str">
        <x:v>candidate-only</x:v>
      </x:c>
      <x:c r="P59" s="33" t="b">
        <x:v>0</x:v>
      </x:c>
      <x:c r="Q59" s="19" t="n">
        <x:v>1</x:v>
      </x:c>
      <x:c r="R59" s="19" t="str">
        <x:v>conditional-local-file-unavailable</x:v>
      </x:c>
    </x:row>
    <x:row r="60" ht="21.600000381469727" hidden="0" customHeight="1">
      <x:c r="A60" s="19" t="str">
        <x:v>R01–R04审计</x:v>
      </x:c>
      <x:c r="B60" s="19" t="str">
        <x:v>media-candidate-cambricon-527da83dc103</x:v>
      </x:c>
      <x:c r="C60" s="19" t="str">
        <x:v>寒武纪</x:v>
      </x:c>
      <x:c r="D60" s="19" t="str">
        <x:v>权威媒体候选</x:v>
      </x:c>
      <x:c r="E60" s="19" t="str">
        <x:v>科创板芯片公司正迎来业绩兑现加速期，科创创业50ETF鹏扬（588350）昨日资金净流入1369.2万元</x:v>
      </x:c>
      <x:c r="F60" s="19"/>
      <x:c r="G60" s="19"/>
      <x:c r="H60" s="19"/>
      <x:c r="I60" s="19" t="str">
        <x:v>2026-08-21</x:v>
      </x:c>
      <x:c r="J60" s="19" t="str">
        <x:v>https://www.p5w.net/roll/zqzx/202608/t20260821_6495828.htm</x:v>
      </x:c>
      <x:c r="K60" s="19" t="str">
        <x:v>https://www.p5w.net/roll/zqzx/202608/t20260821_6495828.htm</x:v>
      </x:c>
      <x:c r="L60" s="19"/>
      <x:c r="M60" s="19"/>
      <x:c r="N60" s="19"/>
      <x:c r="O60" s="19" t="str">
        <x:v>candidate-only</x:v>
      </x:c>
      <x:c r="P60" s="33" t="b">
        <x:v>0</x:v>
      </x:c>
      <x:c r="Q60" s="19" t="n">
        <x:v>1</x:v>
      </x:c>
      <x:c r="R60" s="19" t="str">
        <x:v>conditional-local-file-unavailable</x:v>
      </x:c>
    </x:row>
    <x:row r="61" ht="15" hidden="0" customHeight="1">
      <x:c r="A61" s="19" t="str">
        <x:v>R01–R04审计</x:v>
      </x:c>
      <x:c r="B61" s="19" t="str">
        <x:v>media-candidate-cambricon-cf63fdedef10</x:v>
      </x:c>
      <x:c r="C61" s="19" t="str">
        <x:v>寒武纪</x:v>
      </x:c>
      <x:c r="D61" s="19" t="str">
        <x:v>权威媒体候选</x:v>
      </x:c>
      <x:c r="E61" s="19" t="str">
        <x:v>“六张网”拉动投资效应显现 上市公司积极布局抢抓机遇</x:v>
      </x:c>
      <x:c r="F61" s="19"/>
      <x:c r="G61" s="19"/>
      <x:c r="H61" s="19"/>
      <x:c r="I61" s="19" t="str">
        <x:v>2026-08-21</x:v>
      </x:c>
      <x:c r="J61" s="19" t="str">
        <x:v>https://www.p5w.net/roll/stock/202608/t20260821_6495774.htm</x:v>
      </x:c>
      <x:c r="K61" s="19" t="str">
        <x:v>https://www.p5w.net/roll/stock/202608/t20260821_6495774.htm</x:v>
      </x:c>
      <x:c r="L61" s="19"/>
      <x:c r="M61" s="19"/>
      <x:c r="N61" s="19"/>
      <x:c r="O61" s="19" t="str">
        <x:v>candidate-only</x:v>
      </x:c>
      <x:c r="P61" s="33" t="b">
        <x:v>0</x:v>
      </x:c>
      <x:c r="Q61" s="19" t="n">
        <x:v>1</x:v>
      </x:c>
      <x:c r="R61" s="19" t="str">
        <x:v>conditional-local-file-unavailable</x:v>
      </x:c>
    </x:row>
    <x:row r="62" ht="15" hidden="0" customHeight="1">
      <x:c r="A62" s="19" t="str">
        <x:v>R01–R04审计</x:v>
      </x:c>
      <x:c r="B62" s="19" t="str">
        <x:v>media-candidate-cambricon-15251c7100b5</x:v>
      </x:c>
      <x:c r="C62" s="19" t="str">
        <x:v>寒武纪</x:v>
      </x:c>
      <x:c r="D62" s="19" t="str">
        <x:v>权威媒体候选</x:v>
      </x:c>
      <x:c r="E62" s="19" t="str">
        <x:v>H公司代工B计划受牵制，头部产能垄断何时休？</x:v>
      </x:c>
      <x:c r="F62" s="19"/>
      <x:c r="G62" s="19"/>
      <x:c r="H62" s="19"/>
      <x:c r="I62" s="19" t="str">
        <x:v>2026-08-20</x:v>
      </x:c>
      <x:c r="J62" s="19" t="str">
        <x:v>https://www.p5w.net/roll/finance/202608/t20260820_6495335.htm</x:v>
      </x:c>
      <x:c r="K62" s="19" t="str">
        <x:v>https://www.p5w.net/roll/finance/202608/t20260820_6495335.htm</x:v>
      </x:c>
      <x:c r="L62" s="19"/>
      <x:c r="M62" s="19"/>
      <x:c r="N62" s="19"/>
      <x:c r="O62" s="19" t="str">
        <x:v>candidate-only</x:v>
      </x:c>
      <x:c r="P62" s="33" t="b">
        <x:v>0</x:v>
      </x:c>
      <x:c r="Q62" s="19" t="n">
        <x:v>1</x:v>
      </x:c>
      <x:c r="R62" s="19" t="str">
        <x:v>conditional-local-file-unavailable</x:v>
      </x:c>
    </x:row>
    <x:row r="63" ht="15" hidden="0" customHeight="1">
      <x:c r="A63" s="19" t="str">
        <x:v>R01–R04审计</x:v>
      </x:c>
      <x:c r="B63" s="19" t="str">
        <x:v>media-candidate-cambricon-03765d63b9db</x:v>
      </x:c>
      <x:c r="C63" s="19" t="str">
        <x:v>寒武纪</x:v>
      </x:c>
      <x:c r="D63" s="19" t="str">
        <x:v>权威媒体候选</x:v>
      </x:c>
      <x:c r="E63" s="19" t="str">
        <x:v>算力正在成为新时代核心抵押物，真AI主线的回踩更偏良性</x:v>
      </x:c>
      <x:c r="F63" s="19"/>
      <x:c r="G63" s="19"/>
      <x:c r="H63" s="19"/>
      <x:c r="I63" s="19" t="str">
        <x:v>2026-08-20</x:v>
      </x:c>
      <x:c r="J63" s="19" t="str">
        <x:v>https://www.p5w.net/roll/zqzx/202608/t20260820_6495296.htm</x:v>
      </x:c>
      <x:c r="K63" s="19" t="str">
        <x:v>https://www.p5w.net/roll/zqzx/202608/t20260820_6495296.htm</x:v>
      </x:c>
      <x:c r="L63" s="19"/>
      <x:c r="M63" s="19"/>
      <x:c r="N63" s="19"/>
      <x:c r="O63" s="19" t="str">
        <x:v>candidate-only</x:v>
      </x:c>
      <x:c r="P63" s="33" t="b">
        <x:v>0</x:v>
      </x:c>
      <x:c r="Q63" s="19" t="n">
        <x:v>1</x:v>
      </x:c>
      <x:c r="R63" s="19" t="str">
        <x:v>conditional-local-file-unavailable</x:v>
      </x:c>
    </x:row>
    <x:row r="64" ht="15" hidden="0" customHeight="1">
      <x:c r="A64" s="19" t="str">
        <x:v>R01–R04审计</x:v>
      </x:c>
      <x:c r="B64" s="19" t="str">
        <x:v>media-candidate-cambricon-a176edc7b58f</x:v>
      </x:c>
      <x:c r="C64" s="19" t="str">
        <x:v>寒武纪</x:v>
      </x:c>
      <x:c r="D64" s="19" t="str">
        <x:v>权威媒体候选</x:v>
      </x:c>
      <x:c r="E64" s="19" t="str">
        <x:v>机构称A股科技修复或尚未结束，A500ETF南方（159352）涨1.63%</x:v>
      </x:c>
      <x:c r="F64" s="19"/>
      <x:c r="G64" s="19"/>
      <x:c r="H64" s="19"/>
      <x:c r="I64" s="19" t="str">
        <x:v>2026-08-17</x:v>
      </x:c>
      <x:c r="J64" s="19" t="str">
        <x:v>https://www.p5w.net/roll/zqzx/202608/t20260817_6494066.htm</x:v>
      </x:c>
      <x:c r="K64" s="19" t="str">
        <x:v>https://www.p5w.net/roll/zqzx/202608/t20260817_6494066.htm</x:v>
      </x:c>
      <x:c r="L64" s="19"/>
      <x:c r="M64" s="19"/>
      <x:c r="N64" s="19"/>
      <x:c r="O64" s="19" t="str">
        <x:v>candidate-only</x:v>
      </x:c>
      <x:c r="P64" s="33" t="b">
        <x:v>0</x:v>
      </x:c>
      <x:c r="Q64" s="19" t="n">
        <x:v>1</x:v>
      </x:c>
      <x:c r="R64" s="19" t="str">
        <x:v>conditional-local-file-unavailable</x:v>
      </x:c>
    </x:row>
    <x:row r="65" ht="15" hidden="0" customHeight="1">
      <x:c r="A65" s="19" t="str">
        <x:v>R01–R04审计</x:v>
      </x:c>
      <x:c r="B65" s="19" t="str">
        <x:v>media-candidate-cambricon-f91cbb8f9056</x:v>
      </x:c>
      <x:c r="C65" s="19" t="str">
        <x:v>寒武纪</x:v>
      </x:c>
      <x:c r="D65" s="19" t="str">
        <x:v>权威媒体候选</x:v>
      </x:c>
      <x:c r="E65" s="19" t="str">
        <x:v>深度求索（DeepSeek）今日起正式涨价，科创创业50ETF鹏扬（588350）涨2.96%</x:v>
      </x:c>
      <x:c r="F65" s="19"/>
      <x:c r="G65" s="19"/>
      <x:c r="H65" s="19"/>
      <x:c r="I65" s="19" t="str">
        <x:v>2026-08-17</x:v>
      </x:c>
      <x:c r="J65" s="19" t="str">
        <x:v>https://www.p5w.net/roll/zqzx/202608/t20260817_6494064.htm</x:v>
      </x:c>
      <x:c r="K65" s="19" t="str">
        <x:v>https://www.p5w.net/roll/zqzx/202608/t20260817_6494064.htm</x:v>
      </x:c>
      <x:c r="L65" s="19"/>
      <x:c r="M65" s="19"/>
      <x:c r="N65" s="19"/>
      <x:c r="O65" s="19" t="str">
        <x:v>candidate-only</x:v>
      </x:c>
      <x:c r="P65" s="33" t="b">
        <x:v>0</x:v>
      </x:c>
      <x:c r="Q65" s="19" t="n">
        <x:v>1</x:v>
      </x:c>
      <x:c r="R65" s="19" t="str">
        <x:v>conditional-local-file-unavailable</x:v>
      </x:c>
    </x:row>
    <x:row r="66" ht="21.600000381469727" hidden="0" customHeight="1">
      <x:c r="A66" s="19" t="str">
        <x:v>R01–R04审计</x:v>
      </x:c>
      <x:c r="B66" s="19" t="str">
        <x:v>media-candidate-cambricon-3f060dfb9e04</x:v>
      </x:c>
      <x:c r="C66" s="19" t="str">
        <x:v>寒武纪</x:v>
      </x:c>
      <x:c r="D66" s="19" t="str">
        <x:v>权威媒体候选</x:v>
      </x:c>
      <x:c r="E66" s="19" t="str">
        <x:v>半导体板块进入半年报披露期，多家公司盈利、营收同比大增，数字经济ETF鹏扬（560800）涨1.16%</x:v>
      </x:c>
      <x:c r="F66" s="19"/>
      <x:c r="G66" s="19"/>
      <x:c r="H66" s="19"/>
      <x:c r="I66" s="19" t="str">
        <x:v>2026-08-17</x:v>
      </x:c>
      <x:c r="J66" s="19" t="str">
        <x:v>https://www.p5w.net/roll/zqzx/202608/t20260817_6494001.htm</x:v>
      </x:c>
      <x:c r="K66" s="19" t="str">
        <x:v>https://www.p5w.net/roll/zqzx/202608/t20260817_6494001.htm</x:v>
      </x:c>
      <x:c r="L66" s="19"/>
      <x:c r="M66" s="19"/>
      <x:c r="N66" s="19"/>
      <x:c r="O66" s="19" t="str">
        <x:v>candidate-only</x:v>
      </x:c>
      <x:c r="P66" s="33" t="b">
        <x:v>0</x:v>
      </x:c>
      <x:c r="Q66" s="19" t="n">
        <x:v>1</x:v>
      </x:c>
      <x:c r="R66" s="19" t="str">
        <x:v>conditional-local-file-unavailable</x:v>
      </x:c>
    </x:row>
    <x:row r="67" ht="21.600000381469727" hidden="0" customHeight="1">
      <x:c r="A67" s="19" t="str">
        <x:v>R01–R04审计</x:v>
      </x:c>
      <x:c r="B67" s="19" t="str">
        <x:v>media-candidate-cambricon-d2e11b2d5ff7</x:v>
      </x:c>
      <x:c r="C67" s="19" t="str">
        <x:v>寒武纪</x:v>
      </x:c>
      <x:c r="D67" s="19" t="str">
        <x:v>权威媒体候选</x:v>
      </x:c>
      <x:c r="E67" s="19" t="str">
        <x:v>国产大模型迭代提速提振AI芯片景气，资金连续布局科创芯片设计ETF易方达（589030）</x:v>
      </x:c>
      <x:c r="F67" s="19"/>
      <x:c r="G67" s="19"/>
      <x:c r="H67" s="19"/>
      <x:c r="I67" s="19" t="str">
        <x:v>2026-08-14</x:v>
      </x:c>
      <x:c r="J67" s="19" t="str">
        <x:v>https://www.p5w.net/roll/zqzx/202608/t20260814_6493585.htm</x:v>
      </x:c>
      <x:c r="K67" s="19" t="str">
        <x:v>https://www.p5w.net/roll/zqzx/202608/t20260814_6493585.htm</x:v>
      </x:c>
      <x:c r="L67" s="19"/>
      <x:c r="M67" s="19"/>
      <x:c r="N67" s="19"/>
      <x:c r="O67" s="19" t="str">
        <x:v>candidate-only</x:v>
      </x:c>
      <x:c r="P67" s="33" t="b">
        <x:v>0</x:v>
      </x:c>
      <x:c r="Q67" s="19" t="n">
        <x:v>1</x:v>
      </x:c>
      <x:c r="R67" s="19" t="str">
        <x:v>conditional-local-file-unavailable</x:v>
      </x:c>
    </x:row>
    <x:row r="68" ht="15" hidden="0" customHeight="1">
      <x:c r="A68" s="19" t="str">
        <x:v>R01–R04审计</x:v>
      </x:c>
      <x:c r="B68" s="19" t="str">
        <x:v>media-candidate-cambricon-0b787ec9a8f6</x:v>
      </x:c>
      <x:c r="C68" s="19" t="str">
        <x:v>寒武纪</x:v>
      </x:c>
      <x:c r="D68" s="19" t="str">
        <x:v>权威媒体候选</x:v>
      </x:c>
      <x:c r="E68" s="19" t="str">
        <x:v>拥抱价值还是梭哈科技？这些净值创新高的基金：“我都要”</x:v>
      </x:c>
      <x:c r="F68" s="19"/>
      <x:c r="G68" s="19"/>
      <x:c r="H68" s="19"/>
      <x:c r="I68" s="19" t="str">
        <x:v>2026-08-14</x:v>
      </x:c>
      <x:c r="J68" s="19" t="str">
        <x:v>https://www.p5w.net/roll/fund/202608/t20260814_6493544.htm</x:v>
      </x:c>
      <x:c r="K68" s="19" t="str">
        <x:v>https://www.p5w.net/roll/fund/202608/t20260814_6493544.htm</x:v>
      </x:c>
      <x:c r="L68" s="19"/>
      <x:c r="M68" s="19"/>
      <x:c r="N68" s="19"/>
      <x:c r="O68" s="19" t="str">
        <x:v>candidate-only</x:v>
      </x:c>
      <x:c r="P68" s="33" t="b">
        <x:v>0</x:v>
      </x:c>
      <x:c r="Q68" s="19" t="n">
        <x:v>1</x:v>
      </x:c>
      <x:c r="R68" s="19" t="str">
        <x:v>conditional-local-file-unavailable</x:v>
      </x:c>
    </x:row>
    <x:row r="69" ht="15" hidden="0" customHeight="1">
      <x:c r="A69" s="19" t="str">
        <x:v>R01–R04审计</x:v>
      </x:c>
      <x:c r="B69" s="19" t="str">
        <x:v>media-candidate-cambricon-96bf14d63f73</x:v>
      </x:c>
      <x:c r="C69" s="19" t="str">
        <x:v>寒武纪</x:v>
      </x:c>
      <x:c r="D69" s="19" t="str">
        <x:v>权威媒体候选</x:v>
      </x:c>
      <x:c r="E69" s="19" t="str">
        <x:v>风口词典丨算力租赁：Token通胀时代的新石油</x:v>
      </x:c>
      <x:c r="F69" s="19"/>
      <x:c r="G69" s="19"/>
      <x:c r="H69" s="19"/>
      <x:c r="I69" s="19" t="str">
        <x:v>2026-08-13</x:v>
      </x:c>
      <x:c r="J69" s="19" t="str">
        <x:v>https://www.p5w.net/roll/zqzx/202608/t20260813_6493446.htm</x:v>
      </x:c>
      <x:c r="K69" s="19" t="str">
        <x:v>https://www.p5w.net/roll/zqzx/202608/t20260813_6493446.htm</x:v>
      </x:c>
      <x:c r="L69" s="19"/>
      <x:c r="M69" s="19"/>
      <x:c r="N69" s="19"/>
      <x:c r="O69" s="19" t="str">
        <x:v>candidate-only</x:v>
      </x:c>
      <x:c r="P69" s="33" t="b">
        <x:v>0</x:v>
      </x:c>
      <x:c r="Q69" s="19" t="n">
        <x:v>1</x:v>
      </x:c>
      <x:c r="R69" s="19" t="str">
        <x:v>conditional-local-file-unavailable</x:v>
      </x:c>
    </x:row>
    <x:row r="70" ht="15" hidden="0" customHeight="1">
      <x:c r="A70" s="19" t="str">
        <x:v>R01–R04审计</x:v>
      </x:c>
      <x:c r="B70" s="19" t="str">
        <x:v>media-candidate-cambricon-e7bc5f2a66e4</x:v>
      </x:c>
      <x:c r="C70" s="19" t="str">
        <x:v>寒武纪</x:v>
      </x:c>
      <x:c r="D70" s="19" t="str">
        <x:v>权威媒体候选</x:v>
      </x:c>
      <x:c r="E70" s="19" t="str">
        <x:v>外资的“换芯”时刻：QFII半年报持仓全景透视</x:v>
      </x:c>
      <x:c r="F70" s="19"/>
      <x:c r="G70" s="19"/>
      <x:c r="H70" s="19"/>
      <x:c r="I70" s="19" t="str">
        <x:v>2026-08-12</x:v>
      </x:c>
      <x:c r="J70" s="19" t="str">
        <x:v>https://www.p5w.net/roll/zqzx/202608/t20260812_6493165.htm</x:v>
      </x:c>
      <x:c r="K70" s="19" t="str">
        <x:v>https://www.p5w.net/roll/zqzx/202608/t20260812_6493165.htm</x:v>
      </x:c>
      <x:c r="L70" s="19"/>
      <x:c r="M70" s="19"/>
      <x:c r="N70" s="19"/>
      <x:c r="O70" s="19" t="str">
        <x:v>candidate-only</x:v>
      </x:c>
      <x:c r="P70" s="33" t="b">
        <x:v>0</x:v>
      </x:c>
      <x:c r="Q70" s="19" t="n">
        <x:v>1</x:v>
      </x:c>
      <x:c r="R70" s="19" t="str">
        <x:v>conditional-local-file-unavailable</x:v>
      </x:c>
    </x:row>
    <x:row r="71" ht="21.600000381469727" hidden="0" customHeight="1">
      <x:c r="A71" s="19" t="str">
        <x:v>R01–R04审计</x:v>
      </x:c>
      <x:c r="B71" s="19" t="str">
        <x:v>media-candidate-cambricon-bd0e996b7954</x:v>
      </x:c>
      <x:c r="C71" s="19" t="str">
        <x:v>寒武纪</x:v>
      </x:c>
      <x:c r="D71" s="19" t="str">
        <x:v>权威媒体候选</x:v>
      </x:c>
      <x:c r="E71" s="19" t="str">
        <x:v>AI算力需求正向硬件全链条传导，消费电子ETF易方达（562950）近三月净流入领跑同标的产品</x:v>
      </x:c>
      <x:c r="F71" s="19"/>
      <x:c r="G71" s="19"/>
      <x:c r="H71" s="19"/>
      <x:c r="I71" s="19" t="str">
        <x:v>2026-08-12</x:v>
      </x:c>
      <x:c r="J71" s="19" t="str">
        <x:v>https://www.p5w.net/roll/zqzx/202608/t20260812_6493146.htm</x:v>
      </x:c>
      <x:c r="K71" s="19" t="str">
        <x:v>https://www.p5w.net/roll/zqzx/202608/t20260812_6493146.htm</x:v>
      </x:c>
      <x:c r="L71" s="19"/>
      <x:c r="M71" s="19"/>
      <x:c r="N71" s="19"/>
      <x:c r="O71" s="19" t="str">
        <x:v>candidate-only</x:v>
      </x:c>
      <x:c r="P71" s="33" t="b">
        <x:v>0</x:v>
      </x:c>
      <x:c r="Q71" s="19" t="n">
        <x:v>1</x:v>
      </x:c>
      <x:c r="R71" s="19" t="str">
        <x:v>conditional-local-file-unavailable</x:v>
      </x:c>
    </x:row>
    <x:row r="72" ht="21.600000381469727" hidden="0" customHeight="1">
      <x:c r="A72" s="19" t="str">
        <x:v>R01–R04审计</x:v>
      </x:c>
      <x:c r="B72" s="19" t="str">
        <x:v>media-candidate-cambricon-88c70f0098ce</x:v>
      </x:c>
      <x:c r="C72" s="19" t="str">
        <x:v>寒武纪</x:v>
      </x:c>
      <x:c r="D72" s="19" t="str">
        <x:v>权威媒体候选</x:v>
      </x:c>
      <x:c r="E72" s="19" t="str">
        <x:v>国产AI芯片市场份额有望持续提升，科创芯片ETF易方达（589130）标的指数上涨1.6%</x:v>
      </x:c>
      <x:c r="F72" s="19"/>
      <x:c r="G72" s="19"/>
      <x:c r="H72" s="19"/>
      <x:c r="I72" s="19" t="str">
        <x:v>2026-08-12</x:v>
      </x:c>
      <x:c r="J72" s="19" t="str">
        <x:v>https://www.p5w.net/roll/zqzx/202608/t20260812_6493040.htm</x:v>
      </x:c>
      <x:c r="K72" s="19" t="str">
        <x:v>https://www.p5w.net/roll/zqzx/202608/t20260812_6493040.htm</x:v>
      </x:c>
      <x:c r="L72" s="19"/>
      <x:c r="M72" s="19"/>
      <x:c r="N72" s="19"/>
      <x:c r="O72" s="19" t="str">
        <x:v>candidate-only</x:v>
      </x:c>
      <x:c r="P72" s="33" t="b">
        <x:v>0</x:v>
      </x:c>
      <x:c r="Q72" s="19" t="n">
        <x:v>1</x:v>
      </x:c>
      <x:c r="R72" s="19" t="str">
        <x:v>conditional-local-file-unavailable</x:v>
      </x:c>
    </x:row>
    <x:row r="73" ht="15" hidden="0" customHeight="1">
      <x:c r="A73" s="19" t="str">
        <x:v>R01–R04审计</x:v>
      </x:c>
      <x:c r="B73" s="19" t="str">
        <x:v>media-candidate-cambricon-c4cb8ba15d35</x:v>
      </x:c>
      <x:c r="C73" s="19" t="str">
        <x:v>寒武纪</x:v>
      </x:c>
      <x:c r="D73" s="19" t="str">
        <x:v>权威媒体候选</x:v>
      </x:c>
      <x:c r="E73" s="19" t="str">
        <x:v>冯柳减持、重阳抄底、景林清仓英伟达——百亿私募二季度调仓全景</x:v>
      </x:c>
      <x:c r="F73" s="19"/>
      <x:c r="G73" s="19"/>
      <x:c r="H73" s="19"/>
      <x:c r="I73" s="19" t="str">
        <x:v>2026-08-10</x:v>
      </x:c>
      <x:c r="J73" s="19" t="str">
        <x:v>https://www.p5w.net/roll/zqzx/202608/t20260810_6492460.htm</x:v>
      </x:c>
      <x:c r="K73" s="19" t="str">
        <x:v>https://www.p5w.net/roll/zqzx/202608/t20260810_6492460.htm</x:v>
      </x:c>
      <x:c r="L73" s="19"/>
      <x:c r="M73" s="19"/>
      <x:c r="N73" s="19"/>
      <x:c r="O73" s="19" t="str">
        <x:v>candidate-only</x:v>
      </x:c>
      <x:c r="P73" s="33" t="b">
        <x:v>0</x:v>
      </x:c>
      <x:c r="Q73" s="19" t="n">
        <x:v>1</x:v>
      </x:c>
      <x:c r="R73" s="19" t="str">
        <x:v>conditional-local-file-unavailable</x:v>
      </x:c>
    </x:row>
    <x:row r="74" ht="15" hidden="0" customHeight="1">
      <x:c r="A74" s="19" t="str">
        <x:v>R01–R04审计</x:v>
      </x:c>
      <x:c r="B74" s="19" t="str">
        <x:v>media-candidate-cambricon-d954c4bba1ee</x:v>
      </x:c>
      <x:c r="C74" s="19" t="str">
        <x:v>寒武纪</x:v>
      </x:c>
      <x:c r="D74" s="19" t="str">
        <x:v>权威媒体候选</x:v>
      </x:c>
      <x:c r="E74" s="19" t="str">
        <x:v>A股突变！“大资金”出手</x:v>
      </x:c>
      <x:c r="F74" s="19"/>
      <x:c r="G74" s="19"/>
      <x:c r="H74" s="19"/>
      <x:c r="I74" s="19" t="str">
        <x:v>2026-08-10</x:v>
      </x:c>
      <x:c r="J74" s="19" t="str">
        <x:v>https://www.p5w.net/roll/zqzx/202608/t20260810_6492449.htm</x:v>
      </x:c>
      <x:c r="K74" s="19" t="str">
        <x:v>https://www.p5w.net/roll/zqzx/202608/t20260810_6492449.htm</x:v>
      </x:c>
      <x:c r="L74" s="19"/>
      <x:c r="M74" s="19"/>
      <x:c r="N74" s="19"/>
      <x:c r="O74" s="19" t="str">
        <x:v>candidate-only</x:v>
      </x:c>
      <x:c r="P74" s="33" t="b">
        <x:v>0</x:v>
      </x:c>
      <x:c r="Q74" s="19" t="n">
        <x:v>1</x:v>
      </x:c>
      <x:c r="R74" s="19" t="str">
        <x:v>conditional-local-file-unavailable</x:v>
      </x:c>
    </x:row>
    <x:row r="75" ht="21.600000381469727" hidden="0" customHeight="1">
      <x:c r="A75" s="19" t="str">
        <x:v>R01–R04审计</x:v>
      </x:c>
      <x:c r="B75" s="19" t="str">
        <x:v>media-candidate-cambricon-6c0f27fc7a30</x:v>
      </x:c>
      <x:c r="C75" s="19" t="str">
        <x:v>寒武纪</x:v>
      </x:c>
      <x:c r="D75" s="19" t="str">
        <x:v>权威媒体候选</x:v>
      </x:c>
      <x:c r="E75" s="19" t="str">
        <x:v>国产AI芯片龙头中报业绩出炉，关注科创芯片设计ETF易方达（589030）等产品投资机会</x:v>
      </x:c>
      <x:c r="F75" s="19"/>
      <x:c r="G75" s="19"/>
      <x:c r="H75" s="19"/>
      <x:c r="I75" s="19" t="str">
        <x:v>2026-08-10</x:v>
      </x:c>
      <x:c r="J75" s="19" t="str">
        <x:v>https://www.p5w.net/roll/zqzx/202608/t20260810_6492380.htm</x:v>
      </x:c>
      <x:c r="K75" s="19" t="str">
        <x:v>https://www.p5w.net/roll/zqzx/202608/t20260810_6492380.htm</x:v>
      </x:c>
      <x:c r="L75" s="19"/>
      <x:c r="M75" s="19"/>
      <x:c r="N75" s="19"/>
      <x:c r="O75" s="19" t="str">
        <x:v>candidate-only</x:v>
      </x:c>
      <x:c r="P75" s="33" t="b">
        <x:v>0</x:v>
      </x:c>
      <x:c r="Q75" s="19" t="n">
        <x:v>1</x:v>
      </x:c>
      <x:c r="R75" s="19" t="str">
        <x:v>conditional-local-file-unavailable</x:v>
      </x:c>
    </x:row>
    <x:row r="76" ht="15" hidden="0" customHeight="1">
      <x:c r="A76" s="19" t="str">
        <x:v>R01–R04审计</x:v>
      </x:c>
      <x:c r="B76" s="19" t="str">
        <x:v>media-candidate-cambricon-9fc446b3c245</x:v>
      </x:c>
      <x:c r="C76" s="19" t="str">
        <x:v>寒武纪</x:v>
      </x:c>
      <x:c r="D76" s="19" t="str">
        <x:v>权威媒体候选</x:v>
      </x:c>
      <x:c r="E76" s="19" t="str">
        <x:v>业绩翻倍，“寒王”归来</x:v>
      </x:c>
      <x:c r="F76" s="19"/>
      <x:c r="G76" s="19"/>
      <x:c r="H76" s="19"/>
      <x:c r="I76" s="19" t="str">
        <x:v>2026-08-08</x:v>
      </x:c>
      <x:c r="J76" s="19" t="str">
        <x:v>https://www.p5w.net/roll/pcj/202608/t20260808_6492092.htm</x:v>
      </x:c>
      <x:c r="K76" s="19" t="str">
        <x:v>https://www.p5w.net/roll/pcj/202608/t20260808_6492092.htm</x:v>
      </x:c>
      <x:c r="L76" s="19"/>
      <x:c r="M76" s="19"/>
      <x:c r="N76" s="19"/>
      <x:c r="O76" s="19" t="str">
        <x:v>candidate-only</x:v>
      </x:c>
      <x:c r="P76" s="33" t="b">
        <x:v>0</x:v>
      </x:c>
      <x:c r="Q76" s="19" t="n">
        <x:v>1</x:v>
      </x:c>
      <x:c r="R76" s="19" t="str">
        <x:v>conditional-local-file-unavailable</x:v>
      </x:c>
    </x:row>
    <x:row r="77" ht="21.600000381469727" hidden="0" customHeight="1">
      <x:c r="A77" s="19" t="str">
        <x:v>R01–R04审计</x:v>
      </x:c>
      <x:c r="B77" s="19" t="str">
        <x:v>media-candidate-cambricon-bb15f4d46e5e</x:v>
      </x:c>
      <x:c r="C77" s="19" t="str">
        <x:v>寒武纪</x:v>
      </x:c>
      <x:c r="D77" s="19" t="str">
        <x:v>权威媒体候选</x:v>
      </x:c>
      <x:c r="E77" s="19" t="str">
        <x:v>三星电子开启“Z轴”时代，可垂直堆叠于AI芯片的HBM要来了；科创综指ETF华夏(589000)大涨5.69%，半导体材料概念走强</x:v>
      </x:c>
      <x:c r="F77" s="19"/>
      <x:c r="G77" s="19"/>
      <x:c r="H77" s="19"/>
      <x:c r="I77" s="19" t="str">
        <x:v>2026-08-05</x:v>
      </x:c>
      <x:c r="J77" s="19" t="str">
        <x:v>https://www.p5w.net/roll/zqzx/202608/t20260805_6491238.htm</x:v>
      </x:c>
      <x:c r="K77" s="19" t="str">
        <x:v>https://www.p5w.net/roll/zqzx/202608/t20260805_6491238.htm</x:v>
      </x:c>
      <x:c r="L77" s="19"/>
      <x:c r="M77" s="19"/>
      <x:c r="N77" s="19"/>
      <x:c r="O77" s="19" t="str">
        <x:v>candidate-only</x:v>
      </x:c>
      <x:c r="P77" s="33" t="b">
        <x:v>0</x:v>
      </x:c>
      <x:c r="Q77" s="19" t="n">
        <x:v>1</x:v>
      </x:c>
      <x:c r="R77" s="19" t="str">
        <x:v>conditional-local-file-unavailable</x:v>
      </x:c>
    </x:row>
    <x:row r="78" ht="15" hidden="0" customHeight="1">
      <x:c r="A78" s="19" t="str">
        <x:v>R01–R04审计</x:v>
      </x:c>
      <x:c r="B78" s="19" t="str">
        <x:v>media-candidate-cambricon-adaba465d257</x:v>
      </x:c>
      <x:c r="C78" s="19" t="str">
        <x:v>寒武纪</x:v>
      </x:c>
      <x:c r="D78" s="19" t="str">
        <x:v>权威媒体候选</x:v>
      </x:c>
      <x:c r="E78" s="19" t="str">
        <x:v>“人形机器人第一股”即将上市，科创创业50ETF鹏扬（588350）早盘小幅上涨</x:v>
      </x:c>
      <x:c r="F78" s="19"/>
      <x:c r="G78" s="19"/>
      <x:c r="H78" s="19"/>
      <x:c r="I78" s="19" t="str">
        <x:v>2026-08-05</x:v>
      </x:c>
      <x:c r="J78" s="19" t="str">
        <x:v>https://www.p5w.net/roll/zqzx/202608/t20260805_6491162.htm</x:v>
      </x:c>
      <x:c r="K78" s="19" t="str">
        <x:v>https://www.p5w.net/roll/zqzx/202608/t20260805_6491162.htm</x:v>
      </x:c>
      <x:c r="L78" s="19"/>
      <x:c r="M78" s="19"/>
      <x:c r="N78" s="19"/>
      <x:c r="O78" s="19" t="str">
        <x:v>candidate-only</x:v>
      </x:c>
      <x:c r="P78" s="33" t="b">
        <x:v>0</x:v>
      </x:c>
      <x:c r="Q78" s="19" t="n">
        <x:v>1</x:v>
      </x:c>
      <x:c r="R78" s="19" t="str">
        <x:v>conditional-local-file-unavailable</x:v>
      </x:c>
    </x:row>
    <x:row r="79" ht="21.600000381469727" hidden="0" customHeight="1">
      <x:c r="A79" s="19" t="str">
        <x:v>R01–R04审计</x:v>
      </x:c>
      <x:c r="B79" s="19" t="str">
        <x:v>media-candidate-cambricon-771b181fec9a</x:v>
      </x:c>
      <x:c r="C79" s="19" t="str">
        <x:v>寒武纪</x:v>
      </x:c>
      <x:c r="D79" s="19" t="str">
        <x:v>权威媒体候选</x:v>
      </x:c>
      <x:c r="E79" s="19" t="str">
        <x:v>欧盟计划在欧洲范围内落地7座AI超级工厂，科创人工智能ETF华夏（589010）早盘强势拉升！</x:v>
      </x:c>
      <x:c r="F79" s="19"/>
      <x:c r="G79" s="19"/>
      <x:c r="H79" s="19"/>
      <x:c r="I79" s="19" t="str">
        <x:v>2026-08-05</x:v>
      </x:c>
      <x:c r="J79" s="19" t="str">
        <x:v>https://www.p5w.net/roll/zqzx/202608/t20260805_6491160.htm</x:v>
      </x:c>
      <x:c r="K79" s="19" t="str">
        <x:v>https://www.p5w.net/roll/zqzx/202608/t20260805_6491160.htm</x:v>
      </x:c>
      <x:c r="L79" s="19"/>
      <x:c r="M79" s="19"/>
      <x:c r="N79" s="19"/>
      <x:c r="O79" s="19" t="str">
        <x:v>candidate-only</x:v>
      </x:c>
      <x:c r="P79" s="33" t="b">
        <x:v>0</x:v>
      </x:c>
      <x:c r="Q79" s="19" t="n">
        <x:v>1</x:v>
      </x:c>
      <x:c r="R79" s="19" t="str">
        <x:v>conditional-local-file-unavailable</x:v>
      </x:c>
    </x:row>
    <x:row r="80" ht="15" hidden="0" customHeight="1">
      <x:c r="A80" s="19" t="str">
        <x:v>R01–R04审计</x:v>
      </x:c>
      <x:c r="B80" s="19" t="str">
        <x:v>media-candidate-cambricon-0df08cda0ae6</x:v>
      </x:c>
      <x:c r="C80" s="19" t="str">
        <x:v>寒武纪</x:v>
      </x:c>
      <x:c r="D80" s="19" t="str">
        <x:v>权威媒体候选</x:v>
      </x:c>
      <x:c r="E80" s="19" t="str">
        <x:v>易方达芯片ETF：外围半导体暴涨引领A股芯片全面反弹</x:v>
      </x:c>
      <x:c r="F80" s="19"/>
      <x:c r="G80" s="19"/>
      <x:c r="H80" s="19"/>
      <x:c r="I80" s="19" t="str">
        <x:v>2026-08-05</x:v>
      </x:c>
      <x:c r="J80" s="19" t="str">
        <x:v>https://www.p5w.net/roll/pcj/202608/t20260805_6491148.htm</x:v>
      </x:c>
      <x:c r="K80" s="19" t="str">
        <x:v>https://www.p5w.net/roll/pcj/202608/t20260805_6491148.htm</x:v>
      </x:c>
      <x:c r="L80" s="19"/>
      <x:c r="M80" s="19"/>
      <x:c r="N80" s="19"/>
      <x:c r="O80" s="19" t="str">
        <x:v>candidate-only</x:v>
      </x:c>
      <x:c r="P80" s="33" t="b">
        <x:v>0</x:v>
      </x:c>
      <x:c r="Q80" s="19" t="n">
        <x:v>1</x:v>
      </x:c>
      <x:c r="R80" s="19" t="str">
        <x:v>conditional-local-file-unavailable</x:v>
      </x:c>
    </x:row>
    <x:row r="81" ht="21.600000381469727" hidden="0" customHeight="1">
      <x:c r="A81" s="19" t="str">
        <x:v>R01–R04审计</x:v>
      </x:c>
      <x:c r="B81" s="19" t="str">
        <x:v>media-candidate-cambricon-130bca784426</x:v>
      </x:c>
      <x:c r="C81" s="19" t="str">
        <x:v>寒武纪</x:v>
      </x:c>
      <x:c r="D81" s="19" t="str">
        <x:v>权威媒体候选</x:v>
      </x:c>
      <x:c r="E81" s="19" t="str">
        <x:v>AI需求扩容助推国产算力产业链发展，科创芯片ETF易方达（589130）标的指数涨超6%</x:v>
      </x:c>
      <x:c r="F81" s="19"/>
      <x:c r="G81" s="19"/>
      <x:c r="H81" s="19"/>
      <x:c r="I81" s="19" t="str">
        <x:v>2026-08-04</x:v>
      </x:c>
      <x:c r="J81" s="19" t="str">
        <x:v>https://www.p5w.net/roll/zqzx/202608/t20260804_6490958.htm</x:v>
      </x:c>
      <x:c r="K81" s="19" t="str">
        <x:v>https://www.p5w.net/roll/zqzx/202608/t20260804_6490958.htm</x:v>
      </x:c>
      <x:c r="L81" s="19"/>
      <x:c r="M81" s="19"/>
      <x:c r="N81" s="19"/>
      <x:c r="O81" s="19" t="str">
        <x:v>candidate-only</x:v>
      </x:c>
      <x:c r="P81" s="33" t="b">
        <x:v>0</x:v>
      </x:c>
      <x:c r="Q81" s="19" t="n">
        <x:v>1</x:v>
      </x:c>
      <x:c r="R81" s="19" t="str">
        <x:v>conditional-local-file-unavailable</x:v>
      </x:c>
    </x:row>
    <x:row r="82" ht="15" hidden="0" customHeight="1">
      <x:c r="A82" s="19" t="str">
        <x:v>R01–R04审计</x:v>
      </x:c>
      <x:c r="B82" s="19" t="str">
        <x:v>media-candidate-cambricon-187237a72daf</x:v>
      </x:c>
      <x:c r="C82" s="19" t="str">
        <x:v>寒武纪</x:v>
      </x:c>
      <x:c r="D82" s="19" t="str">
        <x:v>权威媒体候选</x:v>
      </x:c>
      <x:c r="E82" s="19" t="str">
        <x:v>台积电1.4nm程新厂加速兴建，数字经济ETF鹏扬（560800）涨4.27%</x:v>
      </x:c>
      <x:c r="F82" s="19"/>
      <x:c r="G82" s="19"/>
      <x:c r="H82" s="19"/>
      <x:c r="I82" s="19" t="str">
        <x:v>2026-08-04</x:v>
      </x:c>
      <x:c r="J82" s="19" t="str">
        <x:v>https://www.p5w.net/roll/zqzx/202608/t20260804_6490949.htm</x:v>
      </x:c>
      <x:c r="K82" s="19" t="str">
        <x:v>https://www.p5w.net/roll/zqzx/202608/t20260804_6490949.htm</x:v>
      </x:c>
      <x:c r="L82" s="19"/>
      <x:c r="M82" s="19"/>
      <x:c r="N82" s="19"/>
      <x:c r="O82" s="19" t="str">
        <x:v>candidate-only</x:v>
      </x:c>
      <x:c r="P82" s="33" t="b">
        <x:v>0</x:v>
      </x:c>
      <x:c r="Q82" s="19" t="n">
        <x:v>1</x:v>
      </x:c>
      <x:c r="R82" s="19" t="str">
        <x:v>conditional-local-file-unavailable</x:v>
      </x:c>
    </x:row>
    <x:row r="83" ht="15" hidden="0" customHeight="1">
      <x:c r="A83" s="19" t="str">
        <x:v>R01–R04审计</x:v>
      </x:c>
      <x:c r="B83" s="19" t="str">
        <x:v>media-candidate-cambricon-8a1c424349d4</x:v>
      </x:c>
      <x:c r="C83" s="19" t="str">
        <x:v>寒武纪</x:v>
      </x:c>
      <x:c r="D83" s="19" t="str">
        <x:v>权威媒体候选</x:v>
      </x:c>
      <x:c r="E83" s="19" t="str">
        <x:v>多家券商认为市场阶段性底部或现，A500ETF南方（159352）涨1.05%</x:v>
      </x:c>
      <x:c r="F83" s="19"/>
      <x:c r="G83" s="19"/>
      <x:c r="H83" s="19"/>
      <x:c r="I83" s="19" t="str">
        <x:v>2026-08-04</x:v>
      </x:c>
      <x:c r="J83" s="19" t="str">
        <x:v>https://www.p5w.net/roll/zqzx/202608/t20260804_6490883.htm</x:v>
      </x:c>
      <x:c r="K83" s="19" t="str">
        <x:v>https://www.p5w.net/roll/zqzx/202608/t20260804_6490883.htm</x:v>
      </x:c>
      <x:c r="L83" s="19"/>
      <x:c r="M83" s="19"/>
      <x:c r="N83" s="19"/>
      <x:c r="O83" s="19" t="str">
        <x:v>candidate-only</x:v>
      </x:c>
      <x:c r="P83" s="33" t="b">
        <x:v>0</x:v>
      </x:c>
      <x:c r="Q83" s="19" t="n">
        <x:v>1</x:v>
      </x:c>
      <x:c r="R83" s="19" t="str">
        <x:v>conditional-local-file-unavailable</x:v>
      </x:c>
    </x:row>
    <x:row r="84" ht="15" hidden="0" customHeight="1">
      <x:c r="A84" s="19" t="str">
        <x:v>R01–R04审计</x:v>
      </x:c>
      <x:c r="B84" s="19" t="str">
        <x:v>media-candidate-cambricon-9c1dd92cca8e</x:v>
      </x:c>
      <x:c r="C84" s="19" t="str">
        <x:v>寒武纪</x:v>
      </x:c>
      <x:c r="D84" s="19" t="str">
        <x:v>权威媒体候选</x:v>
      </x:c>
      <x:c r="E84" s="19" t="str">
        <x:v>全球存储芯片连续三个季度涨价，科创创业50ETF鹏扬（588350）涨2.65%</x:v>
      </x:c>
      <x:c r="F84" s="19"/>
      <x:c r="G84" s="19"/>
      <x:c r="H84" s="19"/>
      <x:c r="I84" s="19" t="str">
        <x:v>2026-08-04</x:v>
      </x:c>
      <x:c r="J84" s="19" t="str">
        <x:v>https://www.p5w.net/roll/zqzx/202608/t20260804_6490878.htm</x:v>
      </x:c>
      <x:c r="K84" s="19" t="str">
        <x:v>https://www.p5w.net/roll/zqzx/202608/t20260804_6490878.htm</x:v>
      </x:c>
      <x:c r="L84" s="19"/>
      <x:c r="M84" s="19"/>
      <x:c r="N84" s="19"/>
      <x:c r="O84" s="19" t="str">
        <x:v>candidate-only</x:v>
      </x:c>
      <x:c r="P84" s="33" t="b">
        <x:v>0</x:v>
      </x:c>
      <x:c r="Q84" s="19" t="n">
        <x:v>1</x:v>
      </x:c>
      <x:c r="R84" s="19" t="str">
        <x:v>conditional-local-file-unavailable</x:v>
      </x:c>
    </x:row>
    <x:row r="85" ht="15" hidden="0" customHeight="1">
      <x:c r="A85" s="19" t="str">
        <x:v>R01–R04审计</x:v>
      </x:c>
      <x:c r="B85" s="19" t="str">
        <x:v>media-candidate-cambricon-03c424c33c28</x:v>
      </x:c>
      <x:c r="C85" s="19" t="str">
        <x:v>寒武纪</x:v>
      </x:c>
      <x:c r="D85" s="19" t="str">
        <x:v>权威媒体候选</x:v>
      </x:c>
      <x:c r="E85" s="19" t="str">
        <x:v>消费基金“换将”追科技 高买低卖致净值持续承压</x:v>
      </x:c>
      <x:c r="F85" s="19"/>
      <x:c r="G85" s="19"/>
      <x:c r="H85" s="19"/>
      <x:c r="I85" s="19" t="str">
        <x:v>2026-08-03</x:v>
      </x:c>
      <x:c r="J85" s="19" t="str">
        <x:v>https://www.p5w.net/roll/fund/202608/t20260803_6490364.htm</x:v>
      </x:c>
      <x:c r="K85" s="19" t="str">
        <x:v>https://www.p5w.net/roll/fund/202608/t20260803_6490364.htm</x:v>
      </x:c>
      <x:c r="L85" s="19"/>
      <x:c r="M85" s="19"/>
      <x:c r="N85" s="19"/>
      <x:c r="O85" s="19" t="str">
        <x:v>candidate-only</x:v>
      </x:c>
      <x:c r="P85" s="33" t="b">
        <x:v>0</x:v>
      </x:c>
      <x:c r="Q85" s="19" t="n">
        <x:v>1</x:v>
      </x:c>
      <x:c r="R85" s="19" t="str">
        <x:v>conditional-local-file-unavailable</x:v>
      </x:c>
    </x:row>
    <x:row r="86" ht="15" hidden="0" customHeight="1">
      <x:c r="A86" s="19" t="str">
        <x:v>R01–R04审计</x:v>
      </x:c>
      <x:c r="B86" s="19" t="str">
        <x:v>media-candidate-cambricon-777503255157</x:v>
      </x:c>
      <x:c r="C86" s="19" t="str">
        <x:v>寒武纪</x:v>
      </x:c>
      <x:c r="D86" s="19" t="str">
        <x:v>权威媒体候选</x:v>
      </x:c>
      <x:c r="E86" s="19" t="str">
        <x:v>一周暴跌暴涨之后，半导体设备和科创芯片怎么选？</x:v>
      </x:c>
      <x:c r="F86" s="19"/>
      <x:c r="G86" s="19"/>
      <x:c r="H86" s="19"/>
      <x:c r="I86" s="19" t="str">
        <x:v>2026-07-31</x:v>
      </x:c>
      <x:c r="J86" s="19" t="str">
        <x:v>https://www.p5w.net/roll/zqzx/202607/t20260731_6489753.htm</x:v>
      </x:c>
      <x:c r="K86" s="19" t="str">
        <x:v>https://www.p5w.net/roll/zqzx/202607/t20260731_6489753.htm</x:v>
      </x:c>
      <x:c r="L86" s="19"/>
      <x:c r="M86" s="19"/>
      <x:c r="N86" s="19"/>
      <x:c r="O86" s="19" t="str">
        <x:v>candidate-only</x:v>
      </x:c>
      <x:c r="P86" s="33" t="b">
        <x:v>0</x:v>
      </x:c>
      <x:c r="Q86" s="19" t="n">
        <x:v>1</x:v>
      </x:c>
      <x:c r="R86" s="19" t="str">
        <x:v>conditional-local-file-unavailable</x:v>
      </x:c>
    </x:row>
    <x:row r="87" ht="15" hidden="0" customHeight="1">
      <x:c r="A87" s="19" t="str">
        <x:v>R01–R04审计</x:v>
      </x:c>
      <x:c r="B87" s="19" t="str">
        <x:v>media-candidate-cambricon-f3dfee5ffa98</x:v>
      </x:c>
      <x:c r="C87" s="19" t="str">
        <x:v>寒武纪</x:v>
      </x:c>
      <x:c r="D87" s="19" t="str">
        <x:v>权威媒体候选</x:v>
      </x:c>
      <x:c r="E87" s="19" t="str">
        <x:v>涨也猛跌也猛，科创芯片的高弹性怎么看？</x:v>
      </x:c>
      <x:c r="F87" s="19"/>
      <x:c r="G87" s="19"/>
      <x:c r="H87" s="19"/>
      <x:c r="I87" s="19" t="str">
        <x:v>2026-07-31</x:v>
      </x:c>
      <x:c r="J87" s="19" t="str">
        <x:v>https://www.p5w.net/roll/zqzx/202607/t20260731_6489752.htm</x:v>
      </x:c>
      <x:c r="K87" s="19" t="str">
        <x:v>https://www.p5w.net/roll/zqzx/202607/t20260731_6489752.htm</x:v>
      </x:c>
      <x:c r="L87" s="19"/>
      <x:c r="M87" s="19"/>
      <x:c r="N87" s="19"/>
      <x:c r="O87" s="19" t="str">
        <x:v>candidate-only</x:v>
      </x:c>
      <x:c r="P87" s="33" t="b">
        <x:v>0</x:v>
      </x:c>
      <x:c r="Q87" s="19" t="n">
        <x:v>1</x:v>
      </x:c>
      <x:c r="R87" s="19" t="str">
        <x:v>conditional-local-file-unavailable</x:v>
      </x:c>
    </x:row>
    <x:row r="88" ht="15" hidden="0" customHeight="1">
      <x:c r="A88" s="19" t="str">
        <x:v>R01–R04审计</x:v>
      </x:c>
      <x:c r="B88" s="19" t="str">
        <x:v>media-candidate-cambricon-d4c3ba81d54f</x:v>
      </x:c>
      <x:c r="C88" s="19" t="str">
        <x:v>寒武纪</x:v>
      </x:c>
      <x:c r="D88" s="19" t="str">
        <x:v>权威媒体候选</x:v>
      </x:c>
      <x:c r="E88" s="19" t="str">
        <x:v>隔夜美股科技板块迎来强势反弹，数字经济ETF鹏扬（560800）涨超7%</x:v>
      </x:c>
      <x:c r="F88" s="19"/>
      <x:c r="G88" s="19"/>
      <x:c r="H88" s="19"/>
      <x:c r="I88" s="19" t="str">
        <x:v>2026-07-31</x:v>
      </x:c>
      <x:c r="J88" s="19" t="str">
        <x:v>https://www.p5w.net/roll/zqzx/202607/t20260731_6489698.htm</x:v>
      </x:c>
      <x:c r="K88" s="19" t="str">
        <x:v>https://www.p5w.net/roll/zqzx/202607/t20260731_6489698.htm</x:v>
      </x:c>
      <x:c r="L88" s="19"/>
      <x:c r="M88" s="19"/>
      <x:c r="N88" s="19"/>
      <x:c r="O88" s="19" t="str">
        <x:v>candidate-only</x:v>
      </x:c>
      <x:c r="P88" s="33" t="b">
        <x:v>0</x:v>
      </x:c>
      <x:c r="Q88" s="19" t="n">
        <x:v>1</x:v>
      </x:c>
      <x:c r="R88" s="19" t="str">
        <x:v>conditional-local-file-unavailable</x:v>
      </x:c>
    </x:row>
    <x:row r="89" ht="21.600000381469727" hidden="0" customHeight="1">
      <x:c r="A89" s="19" t="str">
        <x:v>R01–R04审计</x:v>
      </x:c>
      <x:c r="B89" s="19" t="str">
        <x:v>media-candidate-cambricon-505b310daf39</x:v>
      </x:c>
      <x:c r="C89" s="19" t="str">
        <x:v>寒武纪</x:v>
      </x:c>
      <x:c r="D89" s="19" t="str">
        <x:v>权威媒体候选</x:v>
      </x:c>
      <x:c r="E89" s="19" t="str">
        <x:v>近期人工智能板块持续回调，外部扰动是主要因素，人工智能ETF华夏（515070）涨7.77%</x:v>
      </x:c>
      <x:c r="F89" s="19"/>
      <x:c r="G89" s="19"/>
      <x:c r="H89" s="19"/>
      <x:c r="I89" s="19" t="str">
        <x:v>2026-07-31</x:v>
      </x:c>
      <x:c r="J89" s="19" t="str">
        <x:v>https://www.p5w.net/roll/zqzx/202607/t20260731_6489685.htm</x:v>
      </x:c>
      <x:c r="K89" s="19" t="str">
        <x:v>https://www.p5w.net/roll/zqzx/202607/t20260731_6489685.htm</x:v>
      </x:c>
      <x:c r="L89" s="19"/>
      <x:c r="M89" s="19"/>
      <x:c r="N89" s="19"/>
      <x:c r="O89" s="19" t="str">
        <x:v>candidate-only</x:v>
      </x:c>
      <x:c r="P89" s="33" t="b">
        <x:v>0</x:v>
      </x:c>
      <x:c r="Q89" s="19" t="n">
        <x:v>1</x:v>
      </x:c>
      <x:c r="R89" s="19" t="str">
        <x:v>conditional-local-file-unavailable</x:v>
      </x:c>
    </x:row>
    <x:row r="90" ht="21.600000381469727" hidden="0" customHeight="1">
      <x:c r="A90" s="19" t="str">
        <x:v>R01–R04审计</x:v>
      </x:c>
      <x:c r="B90" s="19" t="str">
        <x:v>media-candidate-cambricon-977d6e32d108</x:v>
      </x:c>
      <x:c r="C90" s="19" t="str">
        <x:v>寒武纪</x:v>
      </x:c>
      <x:c r="D90" s="19" t="str">
        <x:v>权威媒体候选</x:v>
      </x:c>
      <x:c r="E90" s="19" t="str">
        <x:v>英伟达AI芯片设计再加码，日本地震或驱动功率半导体涨价，芯片ETF华夏（159995.SZ）下跌4.17%</x:v>
      </x:c>
      <x:c r="F90" s="19"/>
      <x:c r="G90" s="19"/>
      <x:c r="H90" s="19"/>
      <x:c r="I90" s="19" t="str">
        <x:v>2026-07-30</x:v>
      </x:c>
      <x:c r="J90" s="19" t="str">
        <x:v>https://www.p5w.net/roll/zqzx/202607/t20260730_6489382.htm</x:v>
      </x:c>
      <x:c r="K90" s="19" t="str">
        <x:v>https://www.p5w.net/roll/zqzx/202607/t20260730_6489382.htm</x:v>
      </x:c>
      <x:c r="L90" s="19"/>
      <x:c r="M90" s="19"/>
      <x:c r="N90" s="19"/>
      <x:c r="O90" s="19" t="str">
        <x:v>candidate-only</x:v>
      </x:c>
      <x:c r="P90" s="33" t="b">
        <x:v>0</x:v>
      </x:c>
      <x:c r="Q90" s="19" t="n">
        <x:v>1</x:v>
      </x:c>
      <x:c r="R90" s="19" t="str">
        <x:v>conditional-local-file-unavailable</x:v>
      </x:c>
    </x:row>
    <x:row r="91" ht="15" hidden="0" customHeight="1">
      <x:c r="A91" s="19" t="str">
        <x:v>R01–R04审计</x:v>
      </x:c>
      <x:c r="B91" s="19" t="str">
        <x:v>media-candidate-cambricon-1f86888aa043</x:v>
      </x:c>
      <x:c r="C91" s="19" t="str">
        <x:v>寒武纪</x:v>
      </x:c>
      <x:c r="D91" s="19" t="str">
        <x:v>权威媒体候选</x:v>
      </x:c>
      <x:c r="E91" s="19" t="str">
        <x:v>全球资本疯抢光模块龙头，中国AI核心资产迎来“定价权”时刻？</x:v>
      </x:c>
      <x:c r="F91" s="19"/>
      <x:c r="G91" s="19"/>
      <x:c r="H91" s="19"/>
      <x:c r="I91" s="19" t="str">
        <x:v>2026-07-29</x:v>
      </x:c>
      <x:c r="J91" s="19" t="str">
        <x:v>https://www.p5w.net/roll/zqzx/202607/t20260729_6489258.htm</x:v>
      </x:c>
      <x:c r="K91" s="19" t="str">
        <x:v>https://www.p5w.net/roll/zqzx/202607/t20260729_6489258.htm</x:v>
      </x:c>
      <x:c r="L91" s="19"/>
      <x:c r="M91" s="19"/>
      <x:c r="N91" s="19"/>
      <x:c r="O91" s="19" t="str">
        <x:v>candidate-only</x:v>
      </x:c>
      <x:c r="P91" s="33" t="b">
        <x:v>0</x:v>
      </x:c>
      <x:c r="Q91" s="19" t="n">
        <x:v>1</x:v>
      </x:c>
      <x:c r="R91" s="19" t="str">
        <x:v>conditional-local-file-unavailable</x:v>
      </x:c>
    </x:row>
    <x:row r="92" ht="15" hidden="0" customHeight="1">
      <x:c r="A92" s="19" t="str">
        <x:v>R01–R04审计</x:v>
      </x:c>
      <x:c r="B92" s="19" t="str">
        <x:v>media-candidate-cambricon-0d6d30e876e4</x:v>
      </x:c>
      <x:c r="C92" s="19" t="str">
        <x:v>寒武纪</x:v>
      </x:c>
      <x:c r="D92" s="19" t="str">
        <x:v>权威媒体候选</x:v>
      </x:c>
      <x:c r="E92" s="19" t="str">
        <x:v>券商今日金股：3份研报力推一股（名单）</x:v>
      </x:c>
      <x:c r="F92" s="19"/>
      <x:c r="G92" s="19"/>
      <x:c r="H92" s="19"/>
      <x:c r="I92" s="19" t="str">
        <x:v>2026-07-29</x:v>
      </x:c>
      <x:c r="J92" s="19" t="str">
        <x:v>https://www.p5w.net/roll/zqzx/202607/t20260729_6489237.htm</x:v>
      </x:c>
      <x:c r="K92" s="19" t="str">
        <x:v>https://www.p5w.net/roll/zqzx/202607/t20260729_6489237.htm</x:v>
      </x:c>
      <x:c r="L92" s="19"/>
      <x:c r="M92" s="19"/>
      <x:c r="N92" s="19"/>
      <x:c r="O92" s="19" t="str">
        <x:v>candidate-only</x:v>
      </x:c>
      <x:c r="P92" s="33" t="b">
        <x:v>0</x:v>
      </x:c>
      <x:c r="Q92" s="19" t="n">
        <x:v>1</x:v>
      </x:c>
      <x:c r="R92" s="19" t="str">
        <x:v>conditional-local-file-unavailable</x:v>
      </x:c>
    </x:row>
    <x:row r="93" ht="15" hidden="0" customHeight="1">
      <x:c r="A93" s="19" t="str">
        <x:v>R01–R04审计</x:v>
      </x:c>
      <x:c r="B93" s="19" t="str">
        <x:v>media-candidate-cambricon-6b9e7605c3bd</x:v>
      </x:c>
      <x:c r="C93" s="19" t="str">
        <x:v>寒武纪</x:v>
      </x:c>
      <x:c r="D93" s="19" t="str">
        <x:v>权威媒体候选</x:v>
      </x:c>
      <x:c r="E93" s="19" t="str">
        <x:v>芯片板块急跌，科创芯片ETF逆势获得净流入，资金在押注什么？</x:v>
      </x:c>
      <x:c r="F93" s="19"/>
      <x:c r="G93" s="19"/>
      <x:c r="H93" s="19"/>
      <x:c r="I93" s="19" t="str">
        <x:v>2026-07-29</x:v>
      </x:c>
      <x:c r="J93" s="19" t="str">
        <x:v>https://www.p5w.net/roll/zqzx/202607/t20260729_6489189.htm</x:v>
      </x:c>
      <x:c r="K93" s="19" t="str">
        <x:v>https://www.p5w.net/roll/zqzx/202607/t20260729_6489189.htm</x:v>
      </x:c>
      <x:c r="L93" s="19"/>
      <x:c r="M93" s="19"/>
      <x:c r="N93" s="19"/>
      <x:c r="O93" s="19" t="str">
        <x:v>candidate-only</x:v>
      </x:c>
      <x:c r="P93" s="33" t="b">
        <x:v>0</x:v>
      </x:c>
      <x:c r="Q93" s="19" t="n">
        <x:v>1</x:v>
      </x:c>
      <x:c r="R93" s="19" t="str">
        <x:v>conditional-local-file-unavailable</x:v>
      </x:c>
    </x:row>
    <x:row r="94" ht="15" hidden="0" customHeight="1">
      <x:c r="A94" s="19" t="str">
        <x:v>R01–R04审计</x:v>
      </x:c>
      <x:c r="B94" s="19" t="str">
        <x:v>media-candidate-cambricon-c37b8b6d2e12</x:v>
      </x:c>
      <x:c r="C94" s="19" t="str">
        <x:v>寒武纪</x:v>
      </x:c>
      <x:c r="D94" s="19" t="str">
        <x:v>权威媒体候选</x:v>
      </x:c>
      <x:c r="E94" s="19" t="str">
        <x:v>半导体板块“深蹲蓄力”，设备和芯片谁更值得关注？</x:v>
      </x:c>
      <x:c r="F94" s="19"/>
      <x:c r="G94" s="19"/>
      <x:c r="H94" s="19"/>
      <x:c r="I94" s="19" t="str">
        <x:v>2026-07-28</x:v>
      </x:c>
      <x:c r="J94" s="19" t="str">
        <x:v>https://www.p5w.net/roll/zqzx/202607/t20260728_6488876.htm</x:v>
      </x:c>
      <x:c r="K94" s="19" t="str">
        <x:v>https://www.p5w.net/roll/zqzx/202607/t20260728_6488876.htm</x:v>
      </x:c>
      <x:c r="L94" s="19"/>
      <x:c r="M94" s="19"/>
      <x:c r="N94" s="19"/>
      <x:c r="O94" s="19" t="str">
        <x:v>candidate-only</x:v>
      </x:c>
      <x:c r="P94" s="33" t="b">
        <x:v>0</x:v>
      </x:c>
      <x:c r="Q94" s="19" t="n">
        <x:v>1</x:v>
      </x:c>
      <x:c r="R94" s="19" t="str">
        <x:v>conditional-local-file-unavailable</x:v>
      </x:c>
    </x:row>
    <x:row r="95" ht="15" hidden="0" customHeight="1">
      <x:c r="A95" s="19" t="str">
        <x:v>R01–R04审计</x:v>
      </x:c>
      <x:c r="B95" s="19" t="str">
        <x:v>media-candidate-cambricon-363ccf203900</x:v>
      </x:c>
      <x:c r="C95" s="19" t="str">
        <x:v>寒武纪</x:v>
      </x:c>
      <x:c r="D95" s="19" t="str">
        <x:v>权威媒体候选</x:v>
      </x:c>
      <x:c r="E95" s="19" t="str">
        <x:v>一边坚守AI一边拥抱红利 基金经理追求平滑净值曲线</x:v>
      </x:c>
      <x:c r="F95" s="19"/>
      <x:c r="G95" s="19"/>
      <x:c r="H95" s="19"/>
      <x:c r="I95" s="19" t="str">
        <x:v>2026-07-27</x:v>
      </x:c>
      <x:c r="J95" s="19" t="str">
        <x:v>https://www.p5w.net/roll/fund/202607/t20260727_6488496.htm</x:v>
      </x:c>
      <x:c r="K95" s="19" t="str">
        <x:v>https://www.p5w.net/roll/fund/202607/t20260727_6488496.htm</x:v>
      </x:c>
      <x:c r="L95" s="19"/>
      <x:c r="M95" s="19"/>
      <x:c r="N95" s="19"/>
      <x:c r="O95" s="19" t="str">
        <x:v>candidate-only</x:v>
      </x:c>
      <x:c r="P95" s="33" t="b">
        <x:v>0</x:v>
      </x:c>
      <x:c r="Q95" s="19" t="n">
        <x:v>1</x:v>
      </x:c>
      <x:c r="R95" s="19" t="str">
        <x:v>conditional-local-file-unavailable</x:v>
      </x:c>
    </x:row>
    <x:row r="96" ht="21.600000381469727" hidden="0" customHeight="1">
      <x:c r="A96" s="19" t="str">
        <x:v>R01–R04审计</x:v>
      </x:c>
      <x:c r="B96" s="19" t="str">
        <x:v>media-candidate-cambricon-5d6274a1570f</x:v>
      </x:c>
      <x:c r="C96" s="19" t="str">
        <x:v>寒武纪</x:v>
      </x:c>
      <x:c r="D96" s="19" t="str">
        <x:v>权威媒体候选</x:v>
      </x:c>
      <x:c r="E96" s="19" t="str">
        <x:v>二季度营收、净利双创单季新高，人工智能ETF华夏（515070）持仓股中晶晨股份涨超8%</x:v>
      </x:c>
      <x:c r="F96" s="19"/>
      <x:c r="G96" s="19"/>
      <x:c r="H96" s="19"/>
      <x:c r="I96" s="19" t="str">
        <x:v>2026-07-24</x:v>
      </x:c>
      <x:c r="J96" s="19" t="str">
        <x:v>https://www.p5w.net/roll/zqzx/202607/t20260724_6488148.htm</x:v>
      </x:c>
      <x:c r="K96" s="19" t="str">
        <x:v>https://www.p5w.net/roll/zqzx/202607/t20260724_6488148.htm</x:v>
      </x:c>
      <x:c r="L96" s="19"/>
      <x:c r="M96" s="19"/>
      <x:c r="N96" s="19"/>
      <x:c r="O96" s="19" t="str">
        <x:v>candidate-only</x:v>
      </x:c>
      <x:c r="P96" s="33" t="b">
        <x:v>0</x:v>
      </x:c>
      <x:c r="Q96" s="19" t="n">
        <x:v>1</x:v>
      </x:c>
      <x:c r="R96" s="19" t="str">
        <x:v>conditional-local-file-unavailable</x:v>
      </x:c>
    </x:row>
    <x:row r="97" ht="15" hidden="0" customHeight="1">
      <x:c r="A97" s="19" t="str">
        <x:v>R01–R04审计</x:v>
      </x:c>
      <x:c r="B97" s="19" t="str">
        <x:v>media-candidate-cambricon-d08b3b78b283</x:v>
      </x:c>
      <x:c r="C97" s="19" t="str">
        <x:v>寒武纪</x:v>
      </x:c>
      <x:c r="D97" s="19" t="str">
        <x:v>权威媒体候选</x:v>
      </x:c>
      <x:c r="E97" s="19" t="str">
        <x:v>花旗：建议超配中国股市，上证50ETF华夏(510050)单日吸金10.94亿</x:v>
      </x:c>
      <x:c r="F97" s="19"/>
      <x:c r="G97" s="19"/>
      <x:c r="H97" s="19"/>
      <x:c r="I97" s="19" t="str">
        <x:v>2026-07-24</x:v>
      </x:c>
      <x:c r="J97" s="19" t="str">
        <x:v>https://www.p5w.net/roll/zqzx/202607/t20260724_6488146.htm</x:v>
      </x:c>
      <x:c r="K97" s="19" t="str">
        <x:v>https://www.p5w.net/roll/zqzx/202607/t20260724_6488146.htm</x:v>
      </x:c>
      <x:c r="L97" s="19"/>
      <x:c r="M97" s="19"/>
      <x:c r="N97" s="19"/>
      <x:c r="O97" s="19" t="str">
        <x:v>candidate-only</x:v>
      </x:c>
      <x:c r="P97" s="33" t="b">
        <x:v>0</x:v>
      </x:c>
      <x:c r="Q97" s="19" t="n">
        <x:v>1</x:v>
      </x:c>
      <x:c r="R97" s="19" t="str">
        <x:v>conditional-local-file-unavailable</x:v>
      </x:c>
    </x:row>
    <x:row r="98" ht="21.600000381469727" hidden="0" customHeight="1">
      <x:c r="A98" s="19" t="str">
        <x:v>R01–R04审计</x:v>
      </x:c>
      <x:c r="B98" s="19" t="str">
        <x:v>media-candidate-cambricon-959207c48a48</x:v>
      </x:c>
      <x:c r="C98" s="19" t="str">
        <x:v>寒武纪</x:v>
      </x:c>
      <x:c r="D98" s="19" t="str">
        <x:v>权威媒体候选</x:v>
      </x:c>
      <x:c r="E98" s="19" t="str">
        <x:v>Agent算力重塑拉动CPU价值重估，芯片ETF华夏（159995）上涨0.63%，通富微电领涨超6%</x:v>
      </x:c>
      <x:c r="F98" s="19"/>
      <x:c r="G98" s="19"/>
      <x:c r="H98" s="19"/>
      <x:c r="I98" s="19" t="str">
        <x:v>2026-07-24</x:v>
      </x:c>
      <x:c r="J98" s="19" t="str">
        <x:v>https://www.p5w.net/roll/zqzx/202607/t20260724_6488143.htm</x:v>
      </x:c>
      <x:c r="K98" s="19" t="str">
        <x:v>https://www.p5w.net/roll/zqzx/202607/t20260724_6488143.htm</x:v>
      </x:c>
      <x:c r="L98" s="19"/>
      <x:c r="M98" s="19"/>
      <x:c r="N98" s="19"/>
      <x:c r="O98" s="19" t="str">
        <x:v>candidate-only</x:v>
      </x:c>
      <x:c r="P98" s="33" t="b">
        <x:v>0</x:v>
      </x:c>
      <x:c r="Q98" s="19" t="n">
        <x:v>1</x:v>
      </x:c>
      <x:c r="R98" s="19" t="str">
        <x:v>conditional-local-file-unavailable</x:v>
      </x:c>
    </x:row>
    <x:row r="99" ht="15" hidden="0" customHeight="1">
      <x:c r="A99" s="19" t="str">
        <x:v>R01–R04审计</x:v>
      </x:c>
      <x:c r="B99" s="19" t="str">
        <x:v>media-candidate-cambricon-edcc94a6adf3</x:v>
      </x:c>
      <x:c r="C99" s="19" t="str">
        <x:v>寒武纪</x:v>
      </x:c>
      <x:c r="D99" s="19" t="str">
        <x:v>权威媒体候选</x:v>
      </x:c>
      <x:c r="E99" s="19" t="str">
        <x:v>二季度券商资管公募权益产品业绩亮眼 后市更关注科技主线性价比</x:v>
      </x:c>
      <x:c r="F99" s="19"/>
      <x:c r="G99" s="19"/>
      <x:c r="H99" s="19"/>
      <x:c r="I99" s="19" t="str">
        <x:v>2026-07-23</x:v>
      </x:c>
      <x:c r="J99" s="19" t="str">
        <x:v>https://www.p5w.net/roll/fund/202607/t20260723_6487813.htm</x:v>
      </x:c>
      <x:c r="K99" s="19" t="str">
        <x:v>https://www.p5w.net/roll/fund/202607/t20260723_6487813.htm</x:v>
      </x:c>
      <x:c r="L99" s="19"/>
      <x:c r="M99" s="19"/>
      <x:c r="N99" s="19"/>
      <x:c r="O99" s="19" t="str">
        <x:v>candidate-only</x:v>
      </x:c>
      <x:c r="P99" s="33" t="b">
        <x:v>0</x:v>
      </x:c>
      <x:c r="Q99" s="19" t="n">
        <x:v>1</x:v>
      </x:c>
      <x:c r="R99" s="19" t="str">
        <x:v>conditional-local-file-unavailable</x:v>
      </x:c>
    </x:row>
    <x:row r="100" ht="15" hidden="0" customHeight="1">
      <x:c r="A100" s="19" t="str">
        <x:v>R01–R04审计</x:v>
      </x:c>
      <x:c r="B100" s="19" t="str">
        <x:v>media-candidate-cambricon-01cbe42bdd73</x:v>
      </x:c>
      <x:c r="C100" s="19" t="str">
        <x:v>寒武纪</x:v>
      </x:c>
      <x:c r="D100" s="19" t="str">
        <x:v>权威媒体候选</x:v>
      </x:c>
      <x:c r="E100" s="19" t="str">
        <x:v>科创板七年蝶变：资本市场如何浇灌出一片“硬科技”森林？</x:v>
      </x:c>
      <x:c r="F100" s="19"/>
      <x:c r="G100" s="19"/>
      <x:c r="H100" s="19"/>
      <x:c r="I100" s="19" t="str">
        <x:v>2026-07-22</x:v>
      </x:c>
      <x:c r="J100" s="19" t="str">
        <x:v>https://www.p5w.net/roll/zqzx/202607/t20260722_6487778.htm</x:v>
      </x:c>
      <x:c r="K100" s="19" t="str">
        <x:v>https://www.p5w.net/roll/zqzx/202607/t20260722_6487778.htm</x:v>
      </x:c>
      <x:c r="L100" s="19"/>
      <x:c r="M100" s="19"/>
      <x:c r="N100" s="19"/>
      <x:c r="O100" s="19" t="str">
        <x:v>candidate-only</x:v>
      </x:c>
      <x:c r="P100" s="33" t="b">
        <x:v>0</x:v>
      </x:c>
      <x:c r="Q100" s="19" t="n">
        <x:v>1</x:v>
      </x:c>
      <x:c r="R100" s="19" t="str">
        <x:v>conditional-local-file-unavailable</x:v>
      </x:c>
    </x:row>
    <x:row r="101" ht="15" hidden="0" customHeight="1">
      <x:c r="A101" s="19" t="str">
        <x:v>R01–R04审计</x:v>
      </x:c>
      <x:c r="B101" s="19" t="str">
        <x:v>media-candidate-cambricon-23bf81825c83</x:v>
      </x:c>
      <x:c r="C101" s="19" t="str">
        <x:v>寒武纪</x:v>
      </x:c>
      <x:c r="D101" s="19" t="str">
        <x:v>权威媒体候选</x:v>
      </x:c>
      <x:c r="E101" s="19" t="str">
        <x:v>公募重仓大洗牌！电子板块成最大赢家，透露出什么信号？</x:v>
      </x:c>
      <x:c r="F101" s="19"/>
      <x:c r="G101" s="19"/>
      <x:c r="H101" s="19"/>
      <x:c r="I101" s="19" t="str">
        <x:v>2026-07-22</x:v>
      </x:c>
      <x:c r="J101" s="19" t="str">
        <x:v>https://www.p5w.net/roll/zqzx/202607/t20260722_6487759.htm</x:v>
      </x:c>
      <x:c r="K101" s="19" t="str">
        <x:v>https://www.p5w.net/roll/zqzx/202607/t20260722_6487759.htm</x:v>
      </x:c>
      <x:c r="L101" s="19"/>
      <x:c r="M101" s="19"/>
      <x:c r="N101" s="19"/>
      <x:c r="O101" s="19" t="str">
        <x:v>candidate-only</x:v>
      </x:c>
      <x:c r="P101" s="33" t="b">
        <x:v>0</x:v>
      </x:c>
      <x:c r="Q101" s="19" t="n">
        <x:v>1</x:v>
      </x:c>
      <x:c r="R101" s="19" t="str">
        <x:v>conditional-local-file-unavailable</x:v>
      </x:c>
    </x:row>
    <x:row r="102" ht="15" hidden="0" customHeight="1">
      <x:c r="A102" s="19" t="str">
        <x:v>R01–R04审计</x:v>
      </x:c>
      <x:c r="B102" s="19" t="str">
        <x:v>media-candidate-cambricon-96c8db60fa40</x:v>
      </x:c>
      <x:c r="C102" s="19" t="str">
        <x:v>寒武纪</x:v>
      </x:c>
      <x:c r="D102" s="19" t="str">
        <x:v>权威媒体候选</x:v>
      </x:c>
      <x:c r="E102" s="19" t="str">
        <x:v>A股巨变！三大核心利好</x:v>
      </x:c>
      <x:c r="F102" s="19"/>
      <x:c r="G102" s="19"/>
      <x:c r="H102" s="19"/>
      <x:c r="I102" s="19" t="str">
        <x:v>2026-07-22</x:v>
      </x:c>
      <x:c r="J102" s="19" t="str">
        <x:v>https://www.p5w.net/roll/zqzx/202607/t20260722_6487690.htm</x:v>
      </x:c>
      <x:c r="K102" s="19" t="str">
        <x:v>https://www.p5w.net/roll/zqzx/202607/t20260722_6487690.htm</x:v>
      </x:c>
      <x:c r="L102" s="19"/>
      <x:c r="M102" s="19"/>
      <x:c r="N102" s="19"/>
      <x:c r="O102" s="19" t="str">
        <x:v>candidate-only</x:v>
      </x:c>
      <x:c r="P102" s="33" t="b">
        <x:v>0</x:v>
      </x:c>
      <x:c r="Q102" s="19" t="n">
        <x:v>1</x:v>
      </x:c>
      <x:c r="R102" s="19" t="str">
        <x:v>conditional-local-file-unavailable</x:v>
      </x:c>
    </x:row>
    <x:row r="103" ht="15" hidden="0" customHeight="1">
      <x:c r="A103" s="19" t="str">
        <x:v>R01–R04审计</x:v>
      </x:c>
      <x:c r="B103" s="19" t="str">
        <x:v>media-candidate-cambricon-3688bcf49dd6</x:v>
      </x:c>
      <x:c r="C103" s="19" t="str">
        <x:v>寒武纪</x:v>
      </x:c>
      <x:c r="D103" s="19" t="str">
        <x:v>权威媒体候选</x:v>
      </x:c>
      <x:c r="E103" s="19" t="str">
        <x:v>科创板开市七周年：制度包容性润物无声 “硬科技军团”拔节生长</x:v>
      </x:c>
      <x:c r="F103" s="19"/>
      <x:c r="G103" s="19"/>
      <x:c r="H103" s="19"/>
      <x:c r="I103" s="19" t="str">
        <x:v>2026-07-22</x:v>
      </x:c>
      <x:c r="J103" s="19" t="str">
        <x:v>https://www.p5w.net/roll/stock/202607/t20260722_6487559.htm</x:v>
      </x:c>
      <x:c r="K103" s="19" t="str">
        <x:v>https://www.p5w.net/roll/stock/202607/t20260722_6487559.htm</x:v>
      </x:c>
      <x:c r="L103" s="19"/>
      <x:c r="M103" s="19"/>
      <x:c r="N103" s="19"/>
      <x:c r="O103" s="19" t="str">
        <x:v>candidate-only</x:v>
      </x:c>
      <x:c r="P103" s="33" t="b">
        <x:v>0</x:v>
      </x:c>
      <x:c r="Q103" s="19" t="n">
        <x:v>1</x:v>
      </x:c>
      <x:c r="R103" s="19" t="str">
        <x:v>conditional-local-file-unavailable</x:v>
      </x:c>
    </x:row>
    <x:row r="104" ht="15" hidden="0" customHeight="1">
      <x:c r="A104" s="19" t="str">
        <x:v>R01–R04审计</x:v>
      </x:c>
      <x:c r="B104" s="19" t="str">
        <x:v>media-candidate-cambricon-242af8b63fb3</x:v>
      </x:c>
      <x:c r="C104" s="19" t="str">
        <x:v>寒武纪</x:v>
      </x:c>
      <x:c r="D104" s="19" t="str">
        <x:v>权威媒体候选</x:v>
      </x:c>
      <x:c r="E104" s="19" t="str">
        <x:v>中际旭创稳居公募第一重仓股 基金大规模调仓抱团科技龙头</x:v>
      </x:c>
      <x:c r="F104" s="19"/>
      <x:c r="G104" s="19"/>
      <x:c r="H104" s="19"/>
      <x:c r="I104" s="19" t="str">
        <x:v>2026-07-22</x:v>
      </x:c>
      <x:c r="J104" s="19" t="str">
        <x:v>https://www.p5w.net/roll/fund/202607/t20260722_6487557.htm</x:v>
      </x:c>
      <x:c r="K104" s="19" t="str">
        <x:v>https://www.p5w.net/roll/fund/202607/t20260722_6487557.htm</x:v>
      </x:c>
      <x:c r="L104" s="19"/>
      <x:c r="M104" s="19"/>
      <x:c r="N104" s="19"/>
      <x:c r="O104" s="19" t="str">
        <x:v>candidate-only</x:v>
      </x:c>
      <x:c r="P104" s="33" t="b">
        <x:v>0</x:v>
      </x:c>
      <x:c r="Q104" s="19" t="n">
        <x:v>1</x:v>
      </x:c>
      <x:c r="R104" s="19" t="str">
        <x:v>conditional-local-file-unavailable</x:v>
      </x:c>
    </x:row>
    <x:row r="105" ht="15" hidden="0" customHeight="1">
      <x:c r="A105" s="19" t="str">
        <x:v>R01–R04审计</x:v>
      </x:c>
      <x:c r="B105" s="19" t="str">
        <x:v>media-candidate-cambricon-3181ff0656b9</x:v>
      </x:c>
      <x:c r="C105" s="19" t="str">
        <x:v>寒武纪</x:v>
      </x:c>
      <x:c r="D105" s="19" t="str">
        <x:v>权威媒体候选</x:v>
      </x:c>
      <x:c r="E105" s="19" t="str">
        <x:v>近日A股市场迎来多重利好，A500ETF南方（159352）涨1.20%</x:v>
      </x:c>
      <x:c r="F105" s="19"/>
      <x:c r="G105" s="19"/>
      <x:c r="H105" s="19"/>
      <x:c r="I105" s="19" t="str">
        <x:v>2026-07-21</x:v>
      </x:c>
      <x:c r="J105" s="19" t="str">
        <x:v>https://www.p5w.net/roll/zqzx/202607/t20260721_6487330.htm</x:v>
      </x:c>
      <x:c r="K105" s="19" t="str">
        <x:v>https://www.p5w.net/roll/zqzx/202607/t20260721_6487330.htm</x:v>
      </x:c>
      <x:c r="L105" s="19"/>
      <x:c r="M105" s="19"/>
      <x:c r="N105" s="19"/>
      <x:c r="O105" s="19" t="str">
        <x:v>candidate-only</x:v>
      </x:c>
      <x:c r="P105" s="33" t="b">
        <x:v>0</x:v>
      </x:c>
      <x:c r="Q105" s="19" t="n">
        <x:v>1</x:v>
      </x:c>
      <x:c r="R105" s="19" t="str">
        <x:v>conditional-local-file-unavailable</x:v>
      </x:c>
    </x:row>
    <x:row r="106" ht="21.600000381469727" hidden="0" customHeight="1">
      <x:c r="A106" s="19" t="str">
        <x:v>R01–R04审计</x:v>
      </x:c>
      <x:c r="B106" s="19" t="str">
        <x:v>media-candidate-cambricon-5e1cea212fe9</x:v>
      </x:c>
      <x:c r="C106" s="19" t="str">
        <x:v>寒武纪</x:v>
      </x:c>
      <x:c r="D106" s="19" t="str">
        <x:v>权威媒体候选</x:v>
      </x:c>
      <x:c r="E106" s="19" t="str">
        <x:v>WAIC释放算力重组与智能体工业化关键信号，人工智能ETF易方达（159819）受资金关注</x:v>
      </x:c>
      <x:c r="F106" s="19"/>
      <x:c r="G106" s="19"/>
      <x:c r="H106" s="19"/>
      <x:c r="I106" s="19" t="str">
        <x:v>2026-07-20</x:v>
      </x:c>
      <x:c r="J106" s="19" t="str">
        <x:v>https://www.p5w.net/roll/zqzx/202607/t20260720_6486688.htm</x:v>
      </x:c>
      <x:c r="K106" s="19" t="str">
        <x:v>https://www.p5w.net/roll/zqzx/202607/t20260720_6486688.htm</x:v>
      </x:c>
      <x:c r="L106" s="19"/>
      <x:c r="M106" s="19"/>
      <x:c r="N106" s="19"/>
      <x:c r="O106" s="19" t="str">
        <x:v>candidate-only</x:v>
      </x:c>
      <x:c r="P106" s="33" t="b">
        <x:v>0</x:v>
      </x:c>
      <x:c r="Q106" s="19" t="n">
        <x:v>1</x:v>
      </x:c>
      <x:c r="R106" s="19" t="str">
        <x:v>conditional-local-file-unavailable</x:v>
      </x:c>
    </x:row>
    <x:row r="107" ht="15" hidden="0" customHeight="1">
      <x:c r="A107" s="19" t="str">
        <x:v>R01–R04审计</x:v>
      </x:c>
      <x:c r="B107" s="19" t="str">
        <x:v>media-candidate-cambricon-1ea4e53684d9</x:v>
      </x:c>
      <x:c r="C107" s="19" t="str">
        <x:v>寒武纪</x:v>
      </x:c>
      <x:c r="D107" s="19" t="str">
        <x:v>权威媒体候选</x:v>
      </x:c>
      <x:c r="E107" s="19" t="str">
        <x:v>本届WAIC大会亮点密集，数字经济ETF鹏扬（560800）涨3.51%</x:v>
      </x:c>
      <x:c r="F107" s="19"/>
      <x:c r="G107" s="19"/>
      <x:c r="H107" s="19"/>
      <x:c r="I107" s="19" t="str">
        <x:v>2026-07-20</x:v>
      </x:c>
      <x:c r="J107" s="19" t="str">
        <x:v>https://www.p5w.net/roll/zqzx/202607/t20260720_6486679.htm</x:v>
      </x:c>
      <x:c r="K107" s="19" t="str">
        <x:v>https://www.p5w.net/roll/zqzx/202607/t20260720_6486679.htm</x:v>
      </x:c>
      <x:c r="L107" s="19"/>
      <x:c r="M107" s="19"/>
      <x:c r="N107" s="19"/>
      <x:c r="O107" s="19" t="str">
        <x:v>candidate-only</x:v>
      </x:c>
      <x:c r="P107" s="33" t="b">
        <x:v>0</x:v>
      </x:c>
      <x:c r="Q107" s="19" t="n">
        <x:v>1</x:v>
      </x:c>
      <x:c r="R107" s="19" t="str">
        <x:v>conditional-local-file-unavailable</x:v>
      </x:c>
    </x:row>
    <x:row r="108" ht="15" hidden="0" customHeight="1">
      <x:c r="A108" s="19" t="str">
        <x:v>R01–R04审计</x:v>
      </x:c>
      <x:c r="B108" s="19" t="str">
        <x:v>media-candidate-cambricon-fa85015fdd5c</x:v>
      </x:c>
      <x:c r="C108" s="19" t="str">
        <x:v>寒武纪</x:v>
      </x:c>
      <x:c r="D108" s="19" t="str">
        <x:v>权威媒体候选</x:v>
      </x:c>
      <x:c r="E108" s="19" t="str">
        <x:v>上证指数下探3745点，上证50ETF华夏（510050）午后延续回调，跌2.66%</x:v>
      </x:c>
      <x:c r="F108" s="19"/>
      <x:c r="G108" s="19"/>
      <x:c r="H108" s="19"/>
      <x:c r="I108" s="19" t="str">
        <x:v>2026-07-17</x:v>
      </x:c>
      <x:c r="J108" s="19" t="str">
        <x:v>https://www.p5w.net/roll/zqzx/202607/t20260717_6486287.htm</x:v>
      </x:c>
      <x:c r="K108" s="19" t="str">
        <x:v>https://www.p5w.net/roll/zqzx/202607/t20260717_6486287.htm</x:v>
      </x:c>
      <x:c r="L108" s="19"/>
      <x:c r="M108" s="19"/>
      <x:c r="N108" s="19"/>
      <x:c r="O108" s="19" t="str">
        <x:v>candidate-only</x:v>
      </x:c>
      <x:c r="P108" s="33" t="b">
        <x:v>0</x:v>
      </x:c>
      <x:c r="Q108" s="19" t="n">
        <x:v>1</x:v>
      </x:c>
      <x:c r="R108" s="19" t="str">
        <x:v>conditional-local-file-unavailable</x:v>
      </x:c>
    </x:row>
    <x:row r="109" ht="15" hidden="0" customHeight="1">
      <x:c r="A109" s="19" t="str">
        <x:v>R01–R04审计</x:v>
      </x:c>
      <x:c r="B109" s="19" t="str">
        <x:v>media-candidate-cambricon-0fa50255de86</x:v>
      </x:c>
      <x:c r="C109" s="19" t="str">
        <x:v>寒武纪</x:v>
      </x:c>
      <x:c r="D109" s="19" t="str">
        <x:v>权威媒体候选</x:v>
      </x:c>
      <x:c r="E109" s="19" t="str">
        <x:v>资金回流宽基，上证50ETF华夏（510050）近3日获资金大幅布局</x:v>
      </x:c>
      <x:c r="F109" s="19"/>
      <x:c r="G109" s="19"/>
      <x:c r="H109" s="19"/>
      <x:c r="I109" s="19" t="str">
        <x:v>2026-07-16</x:v>
      </x:c>
      <x:c r="J109" s="19" t="str">
        <x:v>https://www.p5w.net/roll/zqzx/202607/t20260716_6486049.htm</x:v>
      </x:c>
      <x:c r="K109" s="19" t="str">
        <x:v>https://www.p5w.net/roll/zqzx/202607/t20260716_6486049.htm</x:v>
      </x:c>
      <x:c r="L109" s="19"/>
      <x:c r="M109" s="19"/>
      <x:c r="N109" s="19"/>
      <x:c r="O109" s="19" t="str">
        <x:v>candidate-only</x:v>
      </x:c>
      <x:c r="P109" s="33" t="b">
        <x:v>0</x:v>
      </x:c>
      <x:c r="Q109" s="19" t="n">
        <x:v>1</x:v>
      </x:c>
      <x:c r="R109" s="19" t="str">
        <x:v>conditional-local-file-unavailable</x:v>
      </x:c>
    </x:row>
    <x:row r="110" ht="21.600000381469727" hidden="0" customHeight="1">
      <x:c r="A110" s="19" t="str">
        <x:v>R01–R04审计</x:v>
      </x:c>
      <x:c r="B110" s="19" t="str">
        <x:v>media-candidate-cambricon-53d558f8309a</x:v>
      </x:c>
      <x:c r="C110" s="19" t="str">
        <x:v>寒武纪</x:v>
      </x:c>
      <x:c r="D110" s="19" t="str">
        <x:v>权威媒体候选</x:v>
      </x:c>
      <x:c r="E110" s="19" t="str">
        <x:v>DeepSeek推进IPO筹备，国产算力需求释放，科创芯片ETF易方达（589130）年内净流入居同标的产品第一</x:v>
      </x:c>
      <x:c r="F110" s="19"/>
      <x:c r="G110" s="19"/>
      <x:c r="H110" s="19"/>
      <x:c r="I110" s="19" t="str">
        <x:v>2026-07-16</x:v>
      </x:c>
      <x:c r="J110" s="19" t="str">
        <x:v>https://www.p5w.net/roll/zqzx/202607/t20260716_6485997.htm</x:v>
      </x:c>
      <x:c r="K110" s="19" t="str">
        <x:v>https://www.p5w.net/roll/zqzx/202607/t20260716_6485997.htm</x:v>
      </x:c>
      <x:c r="L110" s="19"/>
      <x:c r="M110" s="19"/>
      <x:c r="N110" s="19"/>
      <x:c r="O110" s="19" t="str">
        <x:v>candidate-only</x:v>
      </x:c>
      <x:c r="P110" s="33" t="b">
        <x:v>0</x:v>
      </x:c>
      <x:c r="Q110" s="19" t="n">
        <x:v>1</x:v>
      </x:c>
      <x:c r="R110" s="19" t="str">
        <x:v>conditional-local-file-unavailable</x:v>
      </x:c>
    </x:row>
    <x:row r="111" ht="15" hidden="0" customHeight="1">
      <x:c r="A111" s="19" t="str">
        <x:v>R01–R04审计</x:v>
      </x:c>
      <x:c r="B111" s="19" t="str">
        <x:v>media-candidate-cambricon-39d488cd52ab</x:v>
      </x:c>
      <x:c r="C111" s="19" t="str">
        <x:v>寒武纪</x:v>
      </x:c>
      <x:c r="D111" s="19" t="str">
        <x:v>权威媒体候选</x:v>
      </x:c>
      <x:c r="E111" s="19" t="str">
        <x:v>午后成交显著放量，或为资金抢筹，上证50ETF华夏（510050）上涨0.29%</x:v>
      </x:c>
      <x:c r="F111" s="19"/>
      <x:c r="G111" s="19"/>
      <x:c r="H111" s="19"/>
      <x:c r="I111" s="19" t="str">
        <x:v>2026-07-15</x:v>
      </x:c>
      <x:c r="J111" s="19" t="str">
        <x:v>https://www.p5w.net/roll/zqzx/202607/t20260715_6485800.htm</x:v>
      </x:c>
      <x:c r="K111" s="19" t="str">
        <x:v>https://www.p5w.net/roll/zqzx/202607/t20260715_6485800.htm</x:v>
      </x:c>
      <x:c r="L111" s="19"/>
      <x:c r="M111" s="19"/>
      <x:c r="N111" s="19"/>
      <x:c r="O111" s="19" t="str">
        <x:v>candidate-only</x:v>
      </x:c>
      <x:c r="P111" s="33" t="b">
        <x:v>0</x:v>
      </x:c>
      <x:c r="Q111" s="19" t="n">
        <x:v>1</x:v>
      </x:c>
      <x:c r="R111" s="19" t="str">
        <x:v>conditional-local-file-unavailable</x:v>
      </x:c>
    </x:row>
    <x:row r="112" ht="15" hidden="0" customHeight="1">
      <x:c r="A112" s="19" t="str">
        <x:v>R01–R04审计</x:v>
      </x:c>
      <x:c r="B112" s="19" t="str">
        <x:v>media-candidate-cambricon-086e95b744d1</x:v>
      </x:c>
      <x:c r="C112" s="19" t="str">
        <x:v>寒武纪</x:v>
      </x:c>
      <x:c r="D112" s="19" t="str">
        <x:v>权威媒体候选</x:v>
      </x:c>
      <x:c r="E112" s="19" t="str">
        <x:v>回调现低吸机会？半导体设备与科创芯片怎么选</x:v>
      </x:c>
      <x:c r="F112" s="19"/>
      <x:c r="G112" s="19"/>
      <x:c r="H112" s="19"/>
      <x:c r="I112" s="19" t="str">
        <x:v>2026-07-15</x:v>
      </x:c>
      <x:c r="J112" s="19" t="str">
        <x:v>https://www.p5w.net/roll/zqzx/202607/t20260715_6485764.htm</x:v>
      </x:c>
      <x:c r="K112" s="19" t="str">
        <x:v>https://www.p5w.net/roll/zqzx/202607/t20260715_6485764.htm</x:v>
      </x:c>
      <x:c r="L112" s="19"/>
      <x:c r="M112" s="19"/>
      <x:c r="N112" s="19"/>
      <x:c r="O112" s="19" t="str">
        <x:v>candidate-only</x:v>
      </x:c>
      <x:c r="P112" s="33" t="b">
        <x:v>0</x:v>
      </x:c>
      <x:c r="Q112" s="19" t="n">
        <x:v>1</x:v>
      </x:c>
      <x:c r="R112" s="19" t="str">
        <x:v>conditional-local-file-unavailable</x:v>
      </x:c>
    </x:row>
    <x:row r="113" ht="15" hidden="0" customHeight="1">
      <x:c r="A113" s="19" t="str">
        <x:v>R01–R04审计</x:v>
      </x:c>
      <x:c r="B113" s="19" t="str">
        <x:v>media-candidate-cambricon-38fca4b22bfd</x:v>
      </x:c>
      <x:c r="C113" s="19" t="str">
        <x:v>寒武纪</x:v>
      </x:c>
      <x:c r="D113" s="19" t="str">
        <x:v>权威媒体候选</x:v>
      </x:c>
      <x:c r="E113" s="19" t="str">
        <x:v>科创板史上第二大IPO来了！机器人迎来“芯动力”</x:v>
      </x:c>
      <x:c r="F113" s="19"/>
      <x:c r="G113" s="19"/>
      <x:c r="H113" s="19"/>
      <x:c r="I113" s="19" t="str">
        <x:v>2026-07-15</x:v>
      </x:c>
      <x:c r="J113" s="19" t="str">
        <x:v>https://www.p5w.net/roll/zqzx/202607/t20260715_6485442.htm</x:v>
      </x:c>
      <x:c r="K113" s="19" t="str">
        <x:v>https://www.p5w.net/roll/zqzx/202607/t20260715_6485442.htm</x:v>
      </x:c>
      <x:c r="L113" s="19"/>
      <x:c r="M113" s="19"/>
      <x:c r="N113" s="19"/>
      <x:c r="O113" s="19" t="str">
        <x:v>candidate-only</x:v>
      </x:c>
      <x:c r="P113" s="33" t="b">
        <x:v>0</x:v>
      </x:c>
      <x:c r="Q113" s="19" t="n">
        <x:v>1</x:v>
      </x:c>
      <x:c r="R113" s="19" t="str">
        <x:v>conditional-local-file-unavailable</x:v>
      </x:c>
    </x:row>
    <x:row r="114" ht="15" hidden="0" customHeight="1">
      <x:c r="A114" s="19" t="str">
        <x:v>R01–R04审计</x:v>
      </x:c>
      <x:c r="B114" s="19" t="str">
        <x:v>media-candidate-cambricon-f1f046f17f46</x:v>
      </x:c>
      <x:c r="C114" s="19" t="str">
        <x:v>寒武纪</x:v>
      </x:c>
      <x:c r="D114" s="19" t="str">
        <x:v>权威媒体候选</x:v>
      </x:c>
      <x:c r="E114" s="19" t="str">
        <x:v>科技股，突发大跌！三大原因找到</x:v>
      </x:c>
      <x:c r="F114" s="19"/>
      <x:c r="G114" s="19"/>
      <x:c r="H114" s="19"/>
      <x:c r="I114" s="19" t="str">
        <x:v>2026-07-13</x:v>
      </x:c>
      <x:c r="J114" s="19" t="str">
        <x:v>https://www.p5w.net/roll/zqzx/202607/t20260713_6485082.htm</x:v>
      </x:c>
      <x:c r="K114" s="19" t="str">
        <x:v>https://www.p5w.net/roll/zqzx/202607/t20260713_6485082.htm</x:v>
      </x:c>
      <x:c r="L114" s="19"/>
      <x:c r="M114" s="19"/>
      <x:c r="N114" s="19"/>
      <x:c r="O114" s="19" t="str">
        <x:v>candidate-only</x:v>
      </x:c>
      <x:c r="P114" s="33" t="b">
        <x:v>0</x:v>
      </x:c>
      <x:c r="Q114" s="19" t="n">
        <x:v>1</x:v>
      </x:c>
      <x:c r="R114" s="19" t="str">
        <x:v>conditional-local-file-unavailable</x:v>
      </x:c>
    </x:row>
    <x:row r="115" ht="21.600000381469727" hidden="0" customHeight="1">
      <x:c r="A115" s="19" t="str">
        <x:v>R01–R04审计</x:v>
      </x:c>
      <x:c r="B115" s="19" t="str">
        <x:v>media-candidate-cambricon-96955c27b42a</x:v>
      </x:c>
      <x:c r="C115" s="19" t="str">
        <x:v>寒武纪</x:v>
      </x:c>
      <x:c r="D115" s="19" t="str">
        <x:v>权威媒体候选</x:v>
      </x:c>
      <x:c r="E115" s="19" t="str">
        <x:v>宽基指数的“含科量”迎来集体抬升，上证50ETF华夏（510050）信息技术含量超30%</x:v>
      </x:c>
      <x:c r="F115" s="19"/>
      <x:c r="G115" s="19"/>
      <x:c r="H115" s="19"/>
      <x:c r="I115" s="19" t="str">
        <x:v>2026-07-10</x:v>
      </x:c>
      <x:c r="J115" s="19" t="str">
        <x:v>https://www.p5w.net/roll/zqzx/202607/t20260710_6484539.htm</x:v>
      </x:c>
      <x:c r="K115" s="19" t="str">
        <x:v>https://www.p5w.net/roll/zqzx/202607/t20260710_6484539.htm</x:v>
      </x:c>
      <x:c r="L115" s="19"/>
      <x:c r="M115" s="19"/>
      <x:c r="N115" s="19"/>
      <x:c r="O115" s="19" t="str">
        <x:v>candidate-only</x:v>
      </x:c>
      <x:c r="P115" s="33" t="b">
        <x:v>0</x:v>
      </x:c>
      <x:c r="Q115" s="19" t="n">
        <x:v>1</x:v>
      </x:c>
      <x:c r="R115" s="19" t="str">
        <x:v>conditional-local-file-unavailable</x:v>
      </x:c>
    </x:row>
    <x:row r="116" ht="15" hidden="0" customHeight="1">
      <x:c r="A116" s="19" t="str">
        <x:v>R01–R04审计</x:v>
      </x:c>
      <x:c r="B116" s="19" t="str">
        <x:v>media-candidate-cambricon-8dbd67b1d191</x:v>
      </x:c>
      <x:c r="C116" s="19" t="str">
        <x:v>寒武纪</x:v>
      </x:c>
      <x:c r="D116" s="19" t="str">
        <x:v>权威媒体候选</x:v>
      </x:c>
      <x:c r="E116" s="19" t="str">
        <x:v>资本市场制度包容性显著提升 港股科创企业掀起“回A”热潮</x:v>
      </x:c>
      <x:c r="F116" s="19"/>
      <x:c r="G116" s="19"/>
      <x:c r="H116" s="19"/>
      <x:c r="I116" s="19" t="str">
        <x:v>2026-07-10</x:v>
      </x:c>
      <x:c r="J116" s="19" t="str">
        <x:v>https://www.p5w.net/roll/stock/202607/t20260710_6484525.htm</x:v>
      </x:c>
      <x:c r="K116" s="19" t="str">
        <x:v>https://www.p5w.net/roll/stock/202607/t20260710_6484525.htm</x:v>
      </x:c>
      <x:c r="L116" s="19"/>
      <x:c r="M116" s="19"/>
      <x:c r="N116" s="19"/>
      <x:c r="O116" s="19" t="str">
        <x:v>candidate-only</x:v>
      </x:c>
      <x:c r="P116" s="33" t="b">
        <x:v>0</x:v>
      </x:c>
      <x:c r="Q116" s="19" t="n">
        <x:v>1</x:v>
      </x:c>
      <x:c r="R116" s="19" t="str">
        <x:v>conditional-local-file-unavailable</x:v>
      </x:c>
    </x:row>
    <x:row r="117" ht="15" hidden="0" customHeight="1">
      <x:c r="A117" s="19" t="str">
        <x:v>R01–R04审计</x:v>
      </x:c>
      <x:c r="B117" s="19" t="str">
        <x:v>media-candidate-cambricon-e2532343932f</x:v>
      </x:c>
      <x:c r="C117" s="19" t="str">
        <x:v>寒武纪</x:v>
      </x:c>
      <x:c r="D117" s="19" t="str">
        <x:v>权威媒体候选</x:v>
      </x:c>
      <x:c r="E117" s="19" t="str">
        <x:v>芯片板块连续反弹，科创芯片指数年内涨幅超90%领跑同类</x:v>
      </x:c>
      <x:c r="F117" s="19"/>
      <x:c r="G117" s="19"/>
      <x:c r="H117" s="19"/>
      <x:c r="I117" s="19" t="str">
        <x:v>2026-07-09</x:v>
      </x:c>
      <x:c r="J117" s="19" t="str">
        <x:v>https://www.p5w.net/roll/zqzx/202607/t20260709_6484205.htm</x:v>
      </x:c>
      <x:c r="K117" s="19" t="str">
        <x:v>https://www.p5w.net/roll/zqzx/202607/t20260709_6484205.htm</x:v>
      </x:c>
      <x:c r="L117" s="19"/>
      <x:c r="M117" s="19"/>
      <x:c r="N117" s="19"/>
      <x:c r="O117" s="19" t="str">
        <x:v>candidate-only</x:v>
      </x:c>
      <x:c r="P117" s="33" t="b">
        <x:v>0</x:v>
      </x:c>
      <x:c r="Q117" s="19" t="n">
        <x:v>1</x:v>
      </x:c>
      <x:c r="R117" s="19" t="str">
        <x:v>conditional-local-file-unavailable</x:v>
      </x:c>
    </x:row>
    <x:row r="118" ht="15" hidden="0" customHeight="1">
      <x:c r="A118" s="19" t="str">
        <x:v>R01–R04审计</x:v>
      </x:c>
      <x:c r="B118" s="19" t="str">
        <x:v>media-candidate-cambricon-547893dc6625</x:v>
      </x:c>
      <x:c r="C118" s="19" t="str">
        <x:v>寒武纪</x:v>
      </x:c>
      <x:c r="D118" s="19" t="str">
        <x:v>权威媒体候选</x:v>
      </x:c>
      <x:c r="E118" s="19" t="str">
        <x:v>全球首款AI智能体手机即将亮相，算力景气再度上行？</x:v>
      </x:c>
      <x:c r="F118" s="19"/>
      <x:c r="G118" s="19"/>
      <x:c r="H118" s="19"/>
      <x:c r="I118" s="19" t="str">
        <x:v>2026-07-09</x:v>
      </x:c>
      <x:c r="J118" s="19" t="str">
        <x:v>https://www.p5w.net/roll/zqzx/202607/t20260709_6484176.htm</x:v>
      </x:c>
      <x:c r="K118" s="19" t="str">
        <x:v>https://www.p5w.net/roll/zqzx/202607/t20260709_6484176.htm</x:v>
      </x:c>
      <x:c r="L118" s="19"/>
      <x:c r="M118" s="19"/>
      <x:c r="N118" s="19"/>
      <x:c r="O118" s="19" t="str">
        <x:v>candidate-only</x:v>
      </x:c>
      <x:c r="P118" s="33" t="b">
        <x:v>0</x:v>
      </x:c>
      <x:c r="Q118" s="19" t="n">
        <x:v>1</x:v>
      </x:c>
      <x:c r="R118" s="19" t="str">
        <x:v>conditional-local-file-unavailable</x:v>
      </x:c>
    </x:row>
    <x:row r="119" ht="15" hidden="0" customHeight="1">
      <x:c r="A119" s="19" t="str">
        <x:v>R01–R04审计</x:v>
      </x:c>
      <x:c r="B119" s="19" t="str">
        <x:v>media-candidate-cambricon-11c59263be0f</x:v>
      </x:c>
      <x:c r="C119" s="19" t="str">
        <x:v>寒武纪</x:v>
      </x:c>
      <x:c r="D119" s="19" t="str">
        <x:v>权威媒体候选</x:v>
      </x:c>
      <x:c r="E119" s="19" t="str">
        <x:v>全球首款AI智能体手机即将亮相，算力景气再度上行？</x:v>
      </x:c>
      <x:c r="F119" s="19"/>
      <x:c r="G119" s="19"/>
      <x:c r="H119" s="19"/>
      <x:c r="I119" s="19" t="str">
        <x:v>2026-07-09</x:v>
      </x:c>
      <x:c r="J119" s="19" t="str">
        <x:v>https://www.p5w.net/roll/zqzx/202607/t20260709_6484175.htm</x:v>
      </x:c>
      <x:c r="K119" s="19" t="str">
        <x:v>https://www.p5w.net/roll/zqzx/202607/t20260709_6484175.htm</x:v>
      </x:c>
      <x:c r="L119" s="19"/>
      <x:c r="M119" s="19"/>
      <x:c r="N119" s="19"/>
      <x:c r="O119" s="19" t="str">
        <x:v>candidate-only</x:v>
      </x:c>
      <x:c r="P119" s="33" t="b">
        <x:v>0</x:v>
      </x:c>
      <x:c r="Q119" s="19" t="n">
        <x:v>1</x:v>
      </x:c>
      <x:c r="R119" s="19" t="str">
        <x:v>conditional-local-file-unavailable</x:v>
      </x:c>
    </x:row>
    <x:row r="120" ht="15" hidden="0" customHeight="1">
      <x:c r="A120" s="19" t="str">
        <x:v>R01–R04审计</x:v>
      </x:c>
      <x:c r="B120" s="19" t="str">
        <x:v>media-candidate-cambricon-658b2acceabb</x:v>
      </x:c>
      <x:c r="C120" s="19" t="str">
        <x:v>寒武纪</x:v>
      </x:c>
      <x:c r="D120" s="19" t="str">
        <x:v>权威媒体候选</x:v>
      </x:c>
      <x:c r="E120" s="19" t="str">
        <x:v>人工智能产业链公司业绩逐步兑现，芯片ETF华夏（159995）涨2.55%</x:v>
      </x:c>
      <x:c r="F120" s="19"/>
      <x:c r="G120" s="19"/>
      <x:c r="H120" s="19"/>
      <x:c r="I120" s="19" t="str">
        <x:v>2026-07-09</x:v>
      </x:c>
      <x:c r="J120" s="19" t="str">
        <x:v>https://www.p5w.net/roll/zqzx/202607/t20260709_6484160.htm</x:v>
      </x:c>
      <x:c r="K120" s="19" t="str">
        <x:v>https://www.p5w.net/roll/zqzx/202607/t20260709_6484160.htm</x:v>
      </x:c>
      <x:c r="L120" s="19"/>
      <x:c r="M120" s="19"/>
      <x:c r="N120" s="19"/>
      <x:c r="O120" s="19" t="str">
        <x:v>candidate-only</x:v>
      </x:c>
      <x:c r="P120" s="33" t="b">
        <x:v>0</x:v>
      </x:c>
      <x:c r="Q120" s="19" t="n">
        <x:v>1</x:v>
      </x:c>
      <x:c r="R120" s="19" t="str">
        <x:v>conditional-local-file-unavailable</x:v>
      </x:c>
    </x:row>
    <x:row r="121" ht="15" hidden="0" customHeight="1">
      <x:c r="A121" s="19" t="str">
        <x:v>R01–R04审计</x:v>
      </x:c>
      <x:c r="B121" s="19" t="str">
        <x:v>media-candidate-cambricon-3c0adc373436</x:v>
      </x:c>
      <x:c r="C121" s="19" t="str">
        <x:v>寒武纪</x:v>
      </x:c>
      <x:c r="D121" s="19" t="str">
        <x:v>权威媒体候选</x:v>
      </x:c>
      <x:c r="E121" s="19" t="str">
        <x:v>芯片板块短期震荡，为什么科创芯片指数仍值得一看？</x:v>
      </x:c>
      <x:c r="F121" s="19"/>
      <x:c r="G121" s="19"/>
      <x:c r="H121" s="19"/>
      <x:c r="I121" s="19" t="str">
        <x:v>2026-07-08</x:v>
      </x:c>
      <x:c r="J121" s="19" t="str">
        <x:v>https://www.p5w.net/roll/zqzx/202607/t20260708_6483935.htm</x:v>
      </x:c>
      <x:c r="K121" s="19" t="str">
        <x:v>https://www.p5w.net/roll/zqzx/202607/t20260708_6483935.htm</x:v>
      </x:c>
      <x:c r="L121" s="19"/>
      <x:c r="M121" s="19"/>
      <x:c r="N121" s="19"/>
      <x:c r="O121" s="19" t="str">
        <x:v>candidate-only</x:v>
      </x:c>
      <x:c r="P121" s="33" t="b">
        <x:v>0</x:v>
      </x:c>
      <x:c r="Q121" s="19" t="n">
        <x:v>1</x:v>
      </x:c>
      <x:c r="R121" s="19" t="str">
        <x:v>conditional-local-file-unavailable</x:v>
      </x:c>
    </x:row>
    <x:row r="122" ht="15" hidden="0" customHeight="1">
      <x:c r="A122" s="19" t="str">
        <x:v>R01–R04审计</x:v>
      </x:c>
      <x:c r="B122" s="19" t="str">
        <x:v>media-candidate-cambricon-9b778ab4635f</x:v>
      </x:c>
      <x:c r="C122" s="19" t="str">
        <x:v>寒武纪</x:v>
      </x:c>
      <x:c r="D122" s="19" t="str">
        <x:v>权威媒体候选</x:v>
      </x:c>
      <x:c r="E122" s="19" t="str">
        <x:v>300909，机构预测净利润大增！一批绩优滞涨科技股曝光</x:v>
      </x:c>
      <x:c r="F122" s="19"/>
      <x:c r="G122" s="19"/>
      <x:c r="H122" s="19"/>
      <x:c r="I122" s="19" t="str">
        <x:v>2026-07-06</x:v>
      </x:c>
      <x:c r="J122" s="19" t="str">
        <x:v>https://www.p5w.net/roll/company/202607/t20260706_6483168.htm</x:v>
      </x:c>
      <x:c r="K122" s="19" t="str">
        <x:v>https://www.p5w.net/roll/company/202607/t20260706_6483168.htm</x:v>
      </x:c>
      <x:c r="L122" s="19"/>
      <x:c r="M122" s="19"/>
      <x:c r="N122" s="19"/>
      <x:c r="O122" s="19" t="str">
        <x:v>candidate-only</x:v>
      </x:c>
      <x:c r="P122" s="33" t="b">
        <x:v>0</x:v>
      </x:c>
      <x:c r="Q122" s="19" t="n">
        <x:v>1</x:v>
      </x:c>
      <x:c r="R122" s="19" t="str">
        <x:v>conditional-local-file-unavailable</x:v>
      </x:c>
    </x:row>
    <x:row r="123" ht="15" hidden="0" customHeight="1">
      <x:c r="A123" s="19" t="str">
        <x:v>R01–R04审计</x:v>
      </x:c>
      <x:c r="B123" s="19" t="str">
        <x:v>media-candidate-cambricon-7f4cb10ab8a9</x:v>
      </x:c>
      <x:c r="C123" s="19" t="str">
        <x:v>寒武纪</x:v>
      </x:c>
      <x:c r="D123" s="19" t="str">
        <x:v>权威媒体候选</x:v>
      </x:c>
      <x:c r="E123" s="19" t="str">
        <x:v>突发跳水！“大资金”出手加仓（名单）</x:v>
      </x:c>
      <x:c r="F123" s="19"/>
      <x:c r="G123" s="19"/>
      <x:c r="H123" s="19"/>
      <x:c r="I123" s="19" t="str">
        <x:v>2026-07-02</x:v>
      </x:c>
      <x:c r="J123" s="19" t="str">
        <x:v>https://www.p5w.net/roll/zqzx/202607/t20260707_6483620.htm</x:v>
      </x:c>
      <x:c r="K123" s="19" t="str">
        <x:v>https://www.p5w.net/roll/zqzx/202607/t20260707_6483620.htm</x:v>
      </x:c>
      <x:c r="L123" s="19"/>
      <x:c r="M123" s="19"/>
      <x:c r="N123" s="19"/>
      <x:c r="O123" s="19" t="str">
        <x:v>candidate-only</x:v>
      </x:c>
      <x:c r="P123" s="33" t="b">
        <x:v>0</x:v>
      </x:c>
      <x:c r="Q123" s="19" t="n">
        <x:v>1</x:v>
      </x:c>
      <x:c r="R123" s="19" t="str">
        <x:v>conditional-local-file-unavailable</x:v>
      </x:c>
    </x:row>
    <x:row r="124" ht="15" hidden="0" customHeight="1">
      <x:c r="A124" s="19" t="str">
        <x:v>R01–R04审计</x:v>
      </x:c>
      <x:c r="B124" s="19" t="str">
        <x:v>media-candidate-cambricon-6d82bb0b1dc4</x:v>
      </x:c>
      <x:c r="C124" s="19" t="str">
        <x:v>寒武纪</x:v>
      </x:c>
      <x:c r="D124" s="19" t="str">
        <x:v>权威媒体候选</x:v>
      </x:c>
      <x:c r="E124" s="19" t="str">
        <x:v>最新！7月券商金股出炉（附名单）</x:v>
      </x:c>
      <x:c r="F124" s="19"/>
      <x:c r="G124" s="19"/>
      <x:c r="H124" s="19"/>
      <x:c r="I124" s="19" t="str">
        <x:v>2026-07-02</x:v>
      </x:c>
      <x:c r="J124" s="19" t="str">
        <x:v>https://www.p5w.net/roll/stock/202607/t20260702_6482902.htm</x:v>
      </x:c>
      <x:c r="K124" s="19" t="str">
        <x:v>https://www.p5w.net/roll/stock/202607/t20260702_6482902.htm</x:v>
      </x:c>
      <x:c r="L124" s="19"/>
      <x:c r="M124" s="19"/>
      <x:c r="N124" s="19"/>
      <x:c r="O124" s="19" t="str">
        <x:v>candidate-only</x:v>
      </x:c>
      <x:c r="P124" s="33" t="b">
        <x:v>0</x:v>
      </x:c>
      <x:c r="Q124" s="19" t="n">
        <x:v>1</x:v>
      </x:c>
      <x:c r="R124" s="19" t="str">
        <x:v>conditional-local-file-unavailable</x:v>
      </x:c>
    </x:row>
    <x:row r="125" ht="15" hidden="0" customHeight="1">
      <x:c r="A125" s="19" t="str">
        <x:v>R01–R04审计</x:v>
      </x:c>
      <x:c r="B125" s="19" t="str">
        <x:v>media-candidate-cambricon-35e5f185cd09</x:v>
      </x:c>
      <x:c r="C125" s="19" t="str">
        <x:v>寒武纪</x:v>
      </x:c>
      <x:c r="D125" s="19" t="str">
        <x:v>权威媒体候选</x:v>
      </x:c>
      <x:c r="E125" s="19" t="str">
        <x:v>5%调整至10%！A股迎交易新规！下周一，正式实施</x:v>
      </x:c>
      <x:c r="F125" s="19"/>
      <x:c r="G125" s="19"/>
      <x:c r="H125" s="19"/>
      <x:c r="I125" s="19" t="str">
        <x:v>2026-07-02</x:v>
      </x:c>
      <x:c r="J125" s="19" t="str">
        <x:v>https://www.p5w.net/roll/stock/202607/t20260702_6482889.htm</x:v>
      </x:c>
      <x:c r="K125" s="19" t="str">
        <x:v>https://www.p5w.net/roll/stock/202607/t20260702_6482889.htm</x:v>
      </x:c>
      <x:c r="L125" s="19"/>
      <x:c r="M125" s="19"/>
      <x:c r="N125" s="19"/>
      <x:c r="O125" s="19" t="str">
        <x:v>candidate-only</x:v>
      </x:c>
      <x:c r="P125" s="33" t="b">
        <x:v>0</x:v>
      </x:c>
      <x:c r="Q125" s="19" t="n">
        <x:v>1</x:v>
      </x:c>
      <x:c r="R125" s="19" t="str">
        <x:v>conditional-local-file-unavailable</x:v>
      </x:c>
    </x:row>
    <x:row r="126" ht="15" hidden="0" customHeight="1">
      <x:c r="A126" s="19" t="str">
        <x:v>R01–R04审计</x:v>
      </x:c>
      <x:c r="B126" s="19" t="str">
        <x:v>media-candidate-cambricon-7da93a1293e0</x:v>
      </x:c>
      <x:c r="C126" s="19" t="str">
        <x:v>寒武纪</x:v>
      </x:c>
      <x:c r="D126" s="19" t="str">
        <x:v>权威媒体候选</x:v>
      </x:c>
      <x:c r="E126" s="19" t="str">
        <x:v>资本市场助力“自主造血” 63家未盈利上市科创企业蝶变 重塑A股底层逻辑</x:v>
      </x:c>
      <x:c r="F126" s="19"/>
      <x:c r="G126" s="19"/>
      <x:c r="H126" s="19"/>
      <x:c r="I126" s="19" t="str">
        <x:v>2026-07-01</x:v>
      </x:c>
      <x:c r="J126" s="19" t="str">
        <x:v>https://www.p5w.net/roll/company/202607/t20260701_6482803.htm</x:v>
      </x:c>
      <x:c r="K126" s="19" t="str">
        <x:v>https://www.p5w.net/roll/company/202607/t20260701_6482803.htm</x:v>
      </x:c>
      <x:c r="L126" s="19"/>
      <x:c r="M126" s="19"/>
      <x:c r="N126" s="19"/>
      <x:c r="O126" s="19" t="str">
        <x:v>candidate-only</x:v>
      </x:c>
      <x:c r="P126" s="33" t="b">
        <x:v>0</x:v>
      </x:c>
      <x:c r="Q126" s="19" t="n">
        <x:v>1</x:v>
      </x:c>
      <x:c r="R126" s="19" t="str">
        <x:v>conditional-local-file-unavailable</x:v>
      </x:c>
    </x:row>
    <x:row r="127" ht="15" hidden="0" customHeight="1">
      <x:c r="A127" s="19" t="str">
        <x:v>R01–R04审计</x:v>
      </x:c>
      <x:c r="B127" s="19" t="str">
        <x:v>media-candidate-cambricon-56a47a66ac51</x:v>
      </x:c>
      <x:c r="C127" s="19" t="str">
        <x:v>寒武纪</x:v>
      </x:c>
      <x:c r="D127" s="19" t="str">
        <x:v>权威媒体候选</x:v>
      </x:c>
      <x:c r="E127" s="19" t="str">
        <x:v>A股上半年行情收官：成交额刷新纪录 科技成核心主线 千亿市值阵营大扩容</x:v>
      </x:c>
      <x:c r="F127" s="19"/>
      <x:c r="G127" s="19"/>
      <x:c r="H127" s="19"/>
      <x:c r="I127" s="19" t="str">
        <x:v>2026-07-01</x:v>
      </x:c>
      <x:c r="J127" s="19" t="str">
        <x:v>https://www.p5w.net/roll/stock/202607/t20260701_6482801.htm</x:v>
      </x:c>
      <x:c r="K127" s="19" t="str">
        <x:v>https://www.p5w.net/roll/stock/202607/t20260701_6482801.htm</x:v>
      </x:c>
      <x:c r="L127" s="19"/>
      <x:c r="M127" s="19"/>
      <x:c r="N127" s="19"/>
      <x:c r="O127" s="19" t="str">
        <x:v>candidate-only</x:v>
      </x:c>
      <x:c r="P127" s="33" t="b">
        <x:v>0</x:v>
      </x:c>
      <x:c r="Q127" s="19" t="n">
        <x:v>1</x:v>
      </x:c>
      <x:c r="R127" s="19" t="str">
        <x:v>conditional-local-file-unavailable</x:v>
      </x:c>
    </x:row>
    <x:row r="128" ht="15" hidden="0" customHeight="1">
      <x:c r="A128" s="19" t="str">
        <x:v>R01–R04审计</x:v>
      </x:c>
      <x:c r="B128" s="19" t="str">
        <x:v>media-candidate-cambricon-4ed8e8abff7e</x:v>
      </x:c>
      <x:c r="C128" s="19" t="str">
        <x:v>寒武纪</x:v>
      </x:c>
      <x:c r="D128" s="19" t="str">
        <x:v>权威媒体候选</x:v>
      </x:c>
      <x:c r="E128" s="19" t="str">
        <x:v>7月1日证券之星早间消息汇总：中国证监会主席吴清最新发声</x:v>
      </x:c>
      <x:c r="F128" s="19"/>
      <x:c r="G128" s="19"/>
      <x:c r="H128" s="19"/>
      <x:c r="I128" s="19" t="str">
        <x:v>2026-07-01</x:v>
      </x:c>
      <x:c r="J128" s="19" t="str">
        <x:v>https://www.p5w.net/roll/zqzx/202607/t20260701_6482688.htm</x:v>
      </x:c>
      <x:c r="K128" s="19" t="str">
        <x:v>https://www.p5w.net/roll/zqzx/202607/t20260701_6482688.htm</x:v>
      </x:c>
      <x:c r="L128" s="19"/>
      <x:c r="M128" s="19"/>
      <x:c r="N128" s="19"/>
      <x:c r="O128" s="19" t="str">
        <x:v>candidate-only</x:v>
      </x:c>
      <x:c r="P128" s="33" t="b">
        <x:v>0</x:v>
      </x:c>
      <x:c r="Q128" s="19" t="n">
        <x:v>1</x:v>
      </x:c>
      <x:c r="R128" s="19" t="str">
        <x:v>conditional-local-file-unavailable</x:v>
      </x:c>
    </x:row>
    <x:row r="129" ht="15" hidden="0" customHeight="1">
      <x:c r="A129" s="19" t="str">
        <x:v>R01–R04审计</x:v>
      </x:c>
      <x:c r="B129" s="19" t="str">
        <x:v>media-candidate-cambricon-932f2ef92c4c</x:v>
      </x:c>
      <x:c r="C129" s="19" t="str">
        <x:v>寒武纪</x:v>
      </x:c>
      <x:c r="D129" s="19" t="str">
        <x:v>权威媒体候选</x:v>
      </x:c>
      <x:c r="E129" s="19" t="str">
        <x:v>A股大涨！海外，重磅消息</x:v>
      </x:c>
      <x:c r="F129" s="19"/>
      <x:c r="G129" s="19"/>
      <x:c r="H129" s="19"/>
      <x:c r="I129" s="19" t="str">
        <x:v>2026-06-30</x:v>
      </x:c>
      <x:c r="J129" s="19" t="str">
        <x:v>https://www.p5w.net/roll/zqzx/202606/t20260630_6482578.htm</x:v>
      </x:c>
      <x:c r="K129" s="19" t="str">
        <x:v>https://www.p5w.net/roll/zqzx/202606/t20260630_6482578.htm</x:v>
      </x:c>
      <x:c r="L129" s="19"/>
      <x:c r="M129" s="19"/>
      <x:c r="N129" s="19"/>
      <x:c r="O129" s="19" t="str">
        <x:v>candidate-only</x:v>
      </x:c>
      <x:c r="P129" s="33" t="b">
        <x:v>0</x:v>
      </x:c>
      <x:c r="Q129" s="19" t="n">
        <x:v>1</x:v>
      </x:c>
      <x:c r="R129" s="19" t="str">
        <x:v>conditional-local-file-unavailable</x:v>
      </x:c>
    </x:row>
    <x:row r="130" ht="15" hidden="0" customHeight="1">
      <x:c r="A130" s="19" t="str">
        <x:v>R01–R04审计</x:v>
      </x:c>
      <x:c r="B130" s="19" t="str">
        <x:v>media-candidate-cambricon-a5e75a769608</x:v>
      </x:c>
      <x:c r="C130" s="19" t="str">
        <x:v>寒武纪</x:v>
      </x:c>
      <x:c r="D130" s="19" t="str">
        <x:v>权威媒体候选</x:v>
      </x:c>
      <x:c r="E130" s="19" t="str">
        <x:v>科创板首支万亿市值芯片股诞生，科创芯片ETF易方达（589130）标的指数涨超4%</x:v>
      </x:c>
      <x:c r="F130" s="19"/>
      <x:c r="G130" s="19"/>
      <x:c r="H130" s="19"/>
      <x:c r="I130" s="19" t="str">
        <x:v>2026-06-30</x:v>
      </x:c>
      <x:c r="J130" s="19" t="str">
        <x:v>https://www.p5w.net/roll/zqzx/202606/t20260630_6482539.htm</x:v>
      </x:c>
      <x:c r="K130" s="19" t="str">
        <x:v>https://www.p5w.net/roll/zqzx/202606/t20260630_6482539.htm</x:v>
      </x:c>
      <x:c r="L130" s="19"/>
      <x:c r="M130" s="19"/>
      <x:c r="N130" s="19"/>
      <x:c r="O130" s="19" t="str">
        <x:v>candidate-only</x:v>
      </x:c>
      <x:c r="P130" s="33" t="b">
        <x:v>0</x:v>
      </x:c>
      <x:c r="Q130" s="19" t="n">
        <x:v>1</x:v>
      </x:c>
      <x:c r="R130" s="19" t="str">
        <x:v>conditional-local-file-unavailable</x:v>
      </x:c>
    </x:row>
    <x:row r="131" ht="21.600000381469727" hidden="0" customHeight="1">
      <x:c r="A131" s="19" t="str">
        <x:v>R01–R04审计</x:v>
      </x:c>
      <x:c r="B131" s="19" t="str">
        <x:v>media-candidate-cambricon-8a59d85530dc</x:v>
      </x:c>
      <x:c r="C131" s="19" t="str">
        <x:v>寒武纪</x:v>
      </x:c>
      <x:c r="D131" s="19" t="str">
        <x:v>权威媒体候选</x:v>
      </x:c>
      <x:c r="E131" s="19" t="str">
        <x:v>芯片产业链量价齐升逻辑持续强化，科创芯片ETF易方达（589130）年内资金净流入居同标的之首</x:v>
      </x:c>
      <x:c r="F131" s="19"/>
      <x:c r="G131" s="19"/>
      <x:c r="H131" s="19"/>
      <x:c r="I131" s="19" t="str">
        <x:v>2026-06-30</x:v>
      </x:c>
      <x:c r="J131" s="19" t="str">
        <x:v>https://www.p5w.net/roll/zqzx/202606/t20260630_6482499.htm</x:v>
      </x:c>
      <x:c r="K131" s="19" t="str">
        <x:v>https://www.p5w.net/roll/zqzx/202606/t20260630_6482499.htm</x:v>
      </x:c>
      <x:c r="L131" s="19"/>
      <x:c r="M131" s="19"/>
      <x:c r="N131" s="19"/>
      <x:c r="O131" s="19" t="str">
        <x:v>candidate-only</x:v>
      </x:c>
      <x:c r="P131" s="33" t="b">
        <x:v>0</x:v>
      </x:c>
      <x:c r="Q131" s="19" t="n">
        <x:v>1</x:v>
      </x:c>
      <x:c r="R131" s="19" t="str">
        <x:v>conditional-local-file-unavailable</x:v>
      </x:c>
    </x:row>
    <x:row r="132" ht="15" hidden="0" customHeight="1">
      <x:c r="A132" s="19" t="str">
        <x:v>R01–R04审计</x:v>
      </x:c>
      <x:c r="B132" s="19" t="str">
        <x:v>media-candidate-cambricon-fbdb862d2e3c</x:v>
      </x:c>
      <x:c r="C132" s="19" t="str">
        <x:v>寒武纪</x:v>
      </x:c>
      <x:c r="D132" s="19" t="str">
        <x:v>权威媒体候选</x:v>
      </x:c>
      <x:c r="E132" s="19" t="str">
        <x:v>多重催化共振双创板块情绪显著提振，科创创业50ETF鹏扬（588350）涨1.91%</x:v>
      </x:c>
      <x:c r="F132" s="19"/>
      <x:c r="G132" s="19"/>
      <x:c r="H132" s="19"/>
      <x:c r="I132" s="19" t="str">
        <x:v>2026-06-30</x:v>
      </x:c>
      <x:c r="J132" s="19" t="str">
        <x:v>https://www.p5w.net/roll/zqzx/202606/t20260630_6482474.htm</x:v>
      </x:c>
      <x:c r="K132" s="19" t="str">
        <x:v>https://www.p5w.net/roll/zqzx/202606/t20260630_6482474.htm</x:v>
      </x:c>
      <x:c r="L132" s="19"/>
      <x:c r="M132" s="19"/>
      <x:c r="N132" s="19"/>
      <x:c r="O132" s="19" t="str">
        <x:v>candidate-only</x:v>
      </x:c>
      <x:c r="P132" s="33" t="b">
        <x:v>0</x:v>
      </x:c>
      <x:c r="Q132" s="19" t="n">
        <x:v>1</x:v>
      </x:c>
      <x:c r="R132" s="19" t="str">
        <x:v>conditional-local-file-unavailable</x:v>
      </x:c>
    </x:row>
    <x:row r="133" ht="15" hidden="0" customHeight="1">
      <x:c r="A133" s="19" t="str">
        <x:v>R01–R04审计</x:v>
      </x:c>
      <x:c r="B133" s="19" t="str">
        <x:v>media-candidate-cambricon-50314ec34655</x:v>
      </x:c>
      <x:c r="C133" s="19" t="str">
        <x:v>寒武纪</x:v>
      </x:c>
      <x:c r="D133" s="19" t="str">
        <x:v>权威媒体候选</x:v>
      </x:c>
      <x:c r="E133" s="19" t="str">
        <x:v>半导体“双雄”逻辑各异，该选设备还是芯片？</x:v>
      </x:c>
      <x:c r="F133" s="19"/>
      <x:c r="G133" s="19"/>
      <x:c r="H133" s="19"/>
      <x:c r="I133" s="19" t="str">
        <x:v>2026-06-30</x:v>
      </x:c>
      <x:c r="J133" s="19" t="str">
        <x:v>https://www.p5w.net/roll/zqzx/202606/t20260630_6482384.htm</x:v>
      </x:c>
      <x:c r="K133" s="19" t="str">
        <x:v>https://www.p5w.net/roll/zqzx/202606/t20260630_6482384.htm</x:v>
      </x:c>
      <x:c r="L133" s="19"/>
      <x:c r="M133" s="19"/>
      <x:c r="N133" s="19"/>
      <x:c r="O133" s="19" t="str">
        <x:v>candidate-only</x:v>
      </x:c>
      <x:c r="P133" s="33" t="b">
        <x:v>0</x:v>
      </x:c>
      <x:c r="Q133" s="19" t="n">
        <x:v>1</x:v>
      </x:c>
      <x:c r="R133" s="19" t="str">
        <x:v>conditional-local-file-unavailable</x:v>
      </x:c>
    </x:row>
    <x:row r="134" ht="15" hidden="0" customHeight="1">
      <x:c r="A134" s="19" t="str">
        <x:v>R01–R04审计</x:v>
      </x:c>
      <x:c r="B134" s="19" t="str">
        <x:v>media-candidate-cambricon-3d86dde76248</x:v>
      </x:c>
      <x:c r="C134" s="19" t="str">
        <x:v>寒武纪</x:v>
      </x:c>
      <x:c r="D134" s="19" t="str">
        <x:v>权威媒体候选</x:v>
      </x:c>
      <x:c r="E134" s="19" t="str">
        <x:v>6G建设打开国产AI芯片成长空间，科创芯片ETF易方达（589130）标的指数涨超3%</x:v>
      </x:c>
      <x:c r="F134" s="19"/>
      <x:c r="G134" s="19"/>
      <x:c r="H134" s="19"/>
      <x:c r="I134" s="19" t="str">
        <x:v>2026-06-29</x:v>
      </x:c>
      <x:c r="J134" s="19" t="str">
        <x:v>https://www.p5w.net/roll/zqzx/202606/t20260629_6482243.htm</x:v>
      </x:c>
      <x:c r="K134" s="19" t="str">
        <x:v>https://www.p5w.net/roll/zqzx/202606/t20260629_6482243.htm</x:v>
      </x:c>
      <x:c r="L134" s="19"/>
      <x:c r="M134" s="19"/>
      <x:c r="N134" s="19"/>
      <x:c r="O134" s="19" t="str">
        <x:v>candidate-only</x:v>
      </x:c>
      <x:c r="P134" s="33" t="b">
        <x:v>0</x:v>
      </x:c>
      <x:c r="Q134" s="19" t="n">
        <x:v>1</x:v>
      </x:c>
      <x:c r="R134" s="19" t="str">
        <x:v>conditional-local-file-unavailable</x:v>
      </x:c>
    </x:row>
    <x:row r="135" ht="21.600000381469727" hidden="0" customHeight="1">
      <x:c r="A135" s="19" t="str">
        <x:v>R01–R04审计</x:v>
      </x:c>
      <x:c r="B135" s="19" t="str">
        <x:v>media-candidate-cambricon-0424836ec7c2</x:v>
      </x:c>
      <x:c r="C135" s="19" t="str">
        <x:v>寒武纪</x:v>
      </x:c>
      <x:c r="D135" s="19" t="str">
        <x:v>权威媒体候选</x:v>
      </x:c>
      <x:c r="E135" s="19" t="str">
        <x:v>国产芯片市场份额首破五成，科创芯片ETF易方达（589130）年内净流入居同标的产品首位</x:v>
      </x:c>
      <x:c r="F135" s="19"/>
      <x:c r="G135" s="19"/>
      <x:c r="H135" s="19"/>
      <x:c r="I135" s="19" t="str">
        <x:v>2026-06-29</x:v>
      </x:c>
      <x:c r="J135" s="19" t="str">
        <x:v>https://www.p5w.net/roll/zqzx/202606/t20260629_6482187.htm</x:v>
      </x:c>
      <x:c r="K135" s="19" t="str">
        <x:v>https://www.p5w.net/roll/zqzx/202606/t20260629_6482187.htm</x:v>
      </x:c>
      <x:c r="L135" s="19"/>
      <x:c r="M135" s="19"/>
      <x:c r="N135" s="19"/>
      <x:c r="O135" s="19" t="str">
        <x:v>candidate-only</x:v>
      </x:c>
      <x:c r="P135" s="33" t="b">
        <x:v>0</x:v>
      </x:c>
      <x:c r="Q135" s="19" t="n">
        <x:v>1</x:v>
      </x:c>
      <x:c r="R135" s="19" t="str">
        <x:v>conditional-local-file-unavailable</x:v>
      </x:c>
    </x:row>
    <x:row r="136" ht="21.600000381469727" hidden="0" customHeight="1">
      <x:c r="A136" s="19" t="str">
        <x:v>R01–R04审计</x:v>
      </x:c>
      <x:c r="B136" s="19" t="str">
        <x:v>media-candidate-cambricon-108071fad42b</x:v>
      </x:c>
      <x:c r="C136" s="19" t="str">
        <x:v>寒武纪</x:v>
      </x:c>
      <x:c r="D136" s="19" t="str">
        <x:v>权威媒体候选</x:v>
      </x:c>
      <x:c r="E136" s="19" t="str">
        <x:v>OpenAI发布首款定制AI推理芯片，“算力通胀”逻辑仍在演绎，数字经济ETF鹏扬（560800）早盘涨超4%</x:v>
      </x:c>
      <x:c r="F136" s="19"/>
      <x:c r="G136" s="19"/>
      <x:c r="H136" s="19"/>
      <x:c r="I136" s="19" t="str">
        <x:v>2026-06-29</x:v>
      </x:c>
      <x:c r="J136" s="19" t="str">
        <x:v>https://www.p5w.net/roll/zqzx/202606/t20260629_6482164.htm</x:v>
      </x:c>
      <x:c r="K136" s="19" t="str">
        <x:v>https://www.p5w.net/roll/zqzx/202606/t20260629_6482164.htm</x:v>
      </x:c>
      <x:c r="L136" s="19"/>
      <x:c r="M136" s="19"/>
      <x:c r="N136" s="19"/>
      <x:c r="O136" s="19" t="str">
        <x:v>candidate-only</x:v>
      </x:c>
      <x:c r="P136" s="33" t="b">
        <x:v>0</x:v>
      </x:c>
      <x:c r="Q136" s="19" t="n">
        <x:v>1</x:v>
      </x:c>
      <x:c r="R136" s="19" t="str">
        <x:v>conditional-local-file-unavailable</x:v>
      </x:c>
    </x:row>
    <x:row r="137" ht="15" hidden="0" customHeight="1">
      <x:c r="A137" s="19" t="str">
        <x:v>R01–R04审计</x:v>
      </x:c>
      <x:c r="B137" s="19" t="str">
        <x:v>media-candidate-cambricon-9fd9176f191b</x:v>
      </x:c>
      <x:c r="C137" s="19" t="str">
        <x:v>寒武纪</x:v>
      </x:c>
      <x:c r="D137" s="19" t="str">
        <x:v>权威媒体候选</x:v>
      </x:c>
      <x:c r="E137" s="19" t="str">
        <x:v>“物理AI第一股”Momenta开启招股：14家超豪华基石护航，基石席位“一票难求”</x:v>
      </x:c>
      <x:c r="F137" s="19"/>
      <x:c r="G137" s="19"/>
      <x:c r="H137" s="19"/>
      <x:c r="I137" s="19" t="str">
        <x:v>2026-06-29</x:v>
      </x:c>
      <x:c r="J137" s="19" t="str">
        <x:v>https://www.p5w.net/roll/zqzx/202606/t20260629_6482124.htm</x:v>
      </x:c>
      <x:c r="K137" s="19" t="str">
        <x:v>https://www.p5w.net/roll/zqzx/202606/t20260629_6482124.htm</x:v>
      </x:c>
      <x:c r="L137" s="19"/>
      <x:c r="M137" s="19"/>
      <x:c r="N137" s="19"/>
      <x:c r="O137" s="19" t="str">
        <x:v>candidate-only</x:v>
      </x:c>
      <x:c r="P137" s="33" t="b">
        <x:v>0</x:v>
      </x:c>
      <x:c r="Q137" s="19" t="n">
        <x:v>1</x:v>
      </x:c>
      <x:c r="R137" s="19" t="str">
        <x:v>conditional-local-file-unavailable</x:v>
      </x:c>
    </x:row>
    <x:row r="138" ht="15" hidden="0" customHeight="1">
      <x:c r="A138" s="19" t="str">
        <x:v>R01–R04审计</x:v>
      </x:c>
      <x:c r="B138" s="19" t="str">
        <x:v>media-candidate-cambricon-00d20b0bb15a</x:v>
      </x:c>
      <x:c r="C138" s="19" t="str">
        <x:v>寒武纪</x:v>
      </x:c>
      <x:c r="D138" s="19" t="str">
        <x:v>权威媒体候选</x:v>
      </x:c>
      <x:c r="E138" s="19" t="str">
        <x:v>精准布局热门AI赛道 主动权益翻倍基金数量达126只</x:v>
      </x:c>
      <x:c r="F138" s="19"/>
      <x:c r="G138" s="19"/>
      <x:c r="H138" s="19"/>
      <x:c r="I138" s="19" t="str">
        <x:v>2026-06-29</x:v>
      </x:c>
      <x:c r="J138" s="19" t="str">
        <x:v>https://www.p5w.net/roll/fund/202606/t20260629_6482109.htm</x:v>
      </x:c>
      <x:c r="K138" s="19" t="str">
        <x:v>https://www.p5w.net/roll/fund/202606/t20260629_6482109.htm</x:v>
      </x:c>
      <x:c r="L138" s="19"/>
      <x:c r="M138" s="19"/>
      <x:c r="N138" s="19"/>
      <x:c r="O138" s="19" t="str">
        <x:v>candidate-only</x:v>
      </x:c>
      <x:c r="P138" s="33" t="b">
        <x:v>0</x:v>
      </x:c>
      <x:c r="Q138" s="19" t="n">
        <x:v>1</x:v>
      </x:c>
      <x:c r="R138" s="19" t="str">
        <x:v>conditional-local-file-unavailable</x:v>
      </x:c>
    </x:row>
    <x:row r="139" ht="15" hidden="0" customHeight="1">
      <x:c r="A139" s="19" t="str">
        <x:v>R01–R04审计</x:v>
      </x:c>
      <x:c r="B139" s="19" t="str">
        <x:v>media-candidate-cambricon-a239697e226d</x:v>
      </x:c>
      <x:c r="C139" s="19" t="str">
        <x:v>寒武纪</x:v>
      </x:c>
      <x:c r="D139" s="19" t="str">
        <x:v>权威媒体候选</x:v>
      </x:c>
      <x:c r="E139" s="19" t="str">
        <x:v>CS人工智能指数逆市大涨，AI算力与大模型落地加速推动板块重估</x:v>
      </x:c>
      <x:c r="F139" s="19"/>
      <x:c r="G139" s="19"/>
      <x:c r="H139" s="19"/>
      <x:c r="I139" s="19" t="str">
        <x:v>2026-06-26</x:v>
      </x:c>
      <x:c r="J139" s="19" t="str">
        <x:v>https://www.p5w.net/roll/zqzx/202606/t20260626_6481951.htm</x:v>
      </x:c>
      <x:c r="K139" s="19" t="str">
        <x:v>https://www.p5w.net/roll/zqzx/202606/t20260626_6481951.htm</x:v>
      </x:c>
      <x:c r="L139" s="19"/>
      <x:c r="M139" s="19"/>
      <x:c r="N139" s="19"/>
      <x:c r="O139" s="19" t="str">
        <x:v>candidate-only</x:v>
      </x:c>
      <x:c r="P139" s="33" t="b">
        <x:v>0</x:v>
      </x:c>
      <x:c r="Q139" s="19" t="n">
        <x:v>1</x:v>
      </x:c>
      <x:c r="R139" s="19" t="str">
        <x:v>conditional-local-file-unavailable</x:v>
      </x:c>
    </x:row>
    <x:row r="140" ht="15" hidden="0" customHeight="1">
      <x:c r="A140" s="19" t="str">
        <x:v>R01–R04审计</x:v>
      </x:c>
      <x:c r="B140" s="19" t="str">
        <x:v>media-candidate-cambricon-f38e02354718</x:v>
      </x:c>
      <x:c r="C140" s="19" t="str">
        <x:v>寒武纪</x:v>
      </x:c>
      <x:c r="D140" s="19" t="str">
        <x:v>权威媒体候选</x:v>
      </x:c>
      <x:c r="E140" s="19" t="str">
        <x:v>智谱市值破万亿港元 国产大模型获稀缺性溢价</x:v>
      </x:c>
      <x:c r="F140" s="19"/>
      <x:c r="G140" s="19"/>
      <x:c r="H140" s="19"/>
      <x:c r="I140" s="19" t="str">
        <x:v>2026-06-23</x:v>
      </x:c>
      <x:c r="J140" s="19" t="str">
        <x:v>https://www.p5w.net/roll/company/202606/t20260623_6480721.htm</x:v>
      </x:c>
      <x:c r="K140" s="19" t="str">
        <x:v>https://www.p5w.net/roll/company/202606/t20260623_6480721.htm</x:v>
      </x:c>
      <x:c r="L140" s="19"/>
      <x:c r="M140" s="19"/>
      <x:c r="N140" s="19"/>
      <x:c r="O140" s="19" t="str">
        <x:v>candidate-only</x:v>
      </x:c>
      <x:c r="P140" s="33" t="b">
        <x:v>0</x:v>
      </x:c>
      <x:c r="Q140" s="19" t="n">
        <x:v>1</x:v>
      </x:c>
      <x:c r="R140" s="19" t="str">
        <x:v>conditional-local-file-unavailable</x:v>
      </x:c>
    </x:row>
    <x:row r="141" ht="15" hidden="0" customHeight="1">
      <x:c r="A141" s="19" t="str">
        <x:v>R01–R04审计</x:v>
      </x:c>
      <x:c r="B141" s="19" t="str">
        <x:v>media-candidate-cambricon-da0704cc69fb</x:v>
      </x:c>
      <x:c r="C141" s="19" t="str">
        <x:v>寒武纪</x:v>
      </x:c>
      <x:c r="D141" s="19" t="str">
        <x:v>权威媒体候选</x:v>
      </x:c>
      <x:c r="E141" s="19" t="str">
        <x:v>A股，放量大涨！“大资金”加仓（名单）</x:v>
      </x:c>
      <x:c r="F141" s="19"/>
      <x:c r="G141" s="19"/>
      <x:c r="H141" s="19"/>
      <x:c r="I141" s="19" t="str">
        <x:v>2026-06-22</x:v>
      </x:c>
      <x:c r="J141" s="19" t="str">
        <x:v>https://www.p5w.net/roll/zqzx/202606/t20260622_6480615.htm</x:v>
      </x:c>
      <x:c r="K141" s="19" t="str">
        <x:v>https://www.p5w.net/roll/zqzx/202606/t20260622_6480615.htm</x:v>
      </x:c>
      <x:c r="L141" s="19"/>
      <x:c r="M141" s="19"/>
      <x:c r="N141" s="19"/>
      <x:c r="O141" s="19" t="str">
        <x:v>candidate-only</x:v>
      </x:c>
      <x:c r="P141" s="33" t="b">
        <x:v>0</x:v>
      </x:c>
      <x:c r="Q141" s="19" t="n">
        <x:v>1</x:v>
      </x:c>
      <x:c r="R141" s="19" t="str">
        <x:v>conditional-local-file-unavailable</x:v>
      </x:c>
    </x:row>
    <x:row r="142" ht="15" hidden="0" customHeight="1">
      <x:c r="A142" s="19" t="str">
        <x:v>R01–R04审计</x:v>
      </x:c>
      <x:c r="B142" s="19" t="str">
        <x:v>media-candidate-cambricon-fb798d7083e7</x:v>
      </x:c>
      <x:c r="C142" s="19" t="str">
        <x:v>寒武纪</x:v>
      </x:c>
      <x:c r="D142" s="19" t="str">
        <x:v>权威媒体候选</x:v>
      </x:c>
      <x:c r="E142" s="19" t="str">
        <x:v>押注硅基还是坚守碳基？公募基金驶入K型分化深水区</x:v>
      </x:c>
      <x:c r="F142" s="19"/>
      <x:c r="G142" s="19"/>
      <x:c r="H142" s="19"/>
      <x:c r="I142" s="19" t="str">
        <x:v>2026-06-22</x:v>
      </x:c>
      <x:c r="J142" s="19" t="str">
        <x:v>https://www.p5w.net/roll/fund/202606/t20260622_6480460.htm</x:v>
      </x:c>
      <x:c r="K142" s="19" t="str">
        <x:v>https://www.p5w.net/roll/fund/202606/t20260622_6480460.htm</x:v>
      </x:c>
      <x:c r="L142" s="19"/>
      <x:c r="M142" s="19"/>
      <x:c r="N142" s="19"/>
      <x:c r="O142" s="19" t="str">
        <x:v>candidate-only</x:v>
      </x:c>
      <x:c r="P142" s="33" t="b">
        <x:v>0</x:v>
      </x:c>
      <x:c r="Q142" s="19" t="n">
        <x:v>1</x:v>
      </x:c>
      <x:c r="R142" s="19" t="str">
        <x:v>conditional-local-file-unavailable</x:v>
      </x:c>
    </x:row>
    <x:row r="143" ht="15" hidden="0" customHeight="1">
      <x:c r="A143" s="19" t="str">
        <x:v>R01–R04审计</x:v>
      </x:c>
      <x:c r="B143" s="19" t="str">
        <x:v>media-candidate-cambricon-cd87d95eb595</x:v>
      </x:c>
      <x:c r="C143" s="19" t="str">
        <x:v>寒武纪</x:v>
      </x:c>
      <x:c r="D143" s="19" t="str">
        <x:v>权威媒体候选</x:v>
      </x:c>
      <x:c r="E143" s="19" t="str">
        <x:v>盘后，重大调整落地！</x:v>
      </x:c>
      <x:c r="F143" s="19"/>
      <x:c r="G143" s="19"/>
      <x:c r="H143" s="19"/>
      <x:c r="I143" s="19" t="str">
        <x:v>2026-06-18</x:v>
      </x:c>
      <x:c r="J143" s="19" t="str">
        <x:v>https://www.p5w.net/roll/zqzx/202606/t20260618_6480271.htm</x:v>
      </x:c>
      <x:c r="K143" s="19" t="str">
        <x:v>https://www.p5w.net/roll/zqzx/202606/t20260618_6480271.htm</x:v>
      </x:c>
      <x:c r="L143" s="19"/>
      <x:c r="M143" s="19"/>
      <x:c r="N143" s="19"/>
      <x:c r="O143" s="19" t="str">
        <x:v>candidate-only</x:v>
      </x:c>
      <x:c r="P143" s="33" t="b">
        <x:v>0</x:v>
      </x:c>
      <x:c r="Q143" s="19" t="n">
        <x:v>1</x:v>
      </x:c>
      <x:c r="R143" s="19" t="str">
        <x:v>conditional-local-file-unavailable</x:v>
      </x:c>
    </x:row>
    <x:row r="144" ht="15" hidden="0" customHeight="1">
      <x:c r="A144" s="19" t="str">
        <x:v>R01–R04审计</x:v>
      </x:c>
      <x:c r="B144" s="19" t="str">
        <x:v>media-candidate-cambricon-a429f18d2098</x:v>
      </x:c>
      <x:c r="C144" s="19" t="str">
        <x:v>寒武纪</x:v>
      </x:c>
      <x:c r="D144" s="19" t="str">
        <x:v>权威媒体候选</x:v>
      </x:c>
      <x:c r="E144" s="19" t="str">
        <x:v>国产AI芯片“涨价+订单”逻辑强化，科创芯片ETF易方达（589130）标的指数涨超5%</x:v>
      </x:c>
      <x:c r="F144" s="19"/>
      <x:c r="G144" s="19"/>
      <x:c r="H144" s="19"/>
      <x:c r="I144" s="19" t="str">
        <x:v>2026-06-18</x:v>
      </x:c>
      <x:c r="J144" s="19" t="str">
        <x:v>https://www.p5w.net/roll/zqzx/202606/t20260618_6480128.htm</x:v>
      </x:c>
      <x:c r="K144" s="19" t="str">
        <x:v>https://www.p5w.net/roll/zqzx/202606/t20260618_6480128.htm</x:v>
      </x:c>
      <x:c r="L144" s="19"/>
      <x:c r="M144" s="19"/>
      <x:c r="N144" s="19"/>
      <x:c r="O144" s="19" t="str">
        <x:v>candidate-only</x:v>
      </x:c>
      <x:c r="P144" s="33" t="b">
        <x:v>0</x:v>
      </x:c>
      <x:c r="Q144" s="19" t="n">
        <x:v>1</x:v>
      </x:c>
      <x:c r="R144" s="19" t="str">
        <x:v>conditional-local-file-unavailable</x:v>
      </x:c>
    </x:row>
    <x:row r="145" ht="15" hidden="0" customHeight="1">
      <x:c r="A145" s="19" t="str">
        <x:v>R01–R04审计</x:v>
      </x:c>
      <x:c r="B145" s="19" t="str">
        <x:v>media-candidate-cambricon-65f5850a13a6</x:v>
      </x:c>
      <x:c r="C145" s="19" t="str">
        <x:v>寒武纪</x:v>
      </x:c>
      <x:c r="D145" s="19" t="str">
        <x:v>权威媒体候选</x:v>
      </x:c>
      <x:c r="E145" s="19" t="str">
        <x:v>芯片ETF易方达（516350）标的指数涨5%，产业链量价齐升趋势有望延续</x:v>
      </x:c>
      <x:c r="F145" s="19"/>
      <x:c r="G145" s="19"/>
      <x:c r="H145" s="19"/>
      <x:c r="I145" s="19" t="str">
        <x:v>2026-06-18</x:v>
      </x:c>
      <x:c r="J145" s="19" t="str">
        <x:v>https://www.p5w.net/roll/zqzx/202606/t20260618_6480125.htm</x:v>
      </x:c>
      <x:c r="K145" s="19" t="str">
        <x:v>https://www.p5w.net/roll/zqzx/202606/t20260618_6480125.htm</x:v>
      </x:c>
      <x:c r="L145" s="19"/>
      <x:c r="M145" s="19"/>
      <x:c r="N145" s="19"/>
      <x:c r="O145" s="19" t="str">
        <x:v>candidate-only</x:v>
      </x:c>
      <x:c r="P145" s="33" t="b">
        <x:v>0</x:v>
      </x:c>
      <x:c r="Q145" s="19" t="n">
        <x:v>1</x:v>
      </x:c>
      <x:c r="R145" s="19" t="str">
        <x:v>conditional-local-file-unavailable</x:v>
      </x:c>
    </x:row>
    <x:row r="146" ht="15" hidden="0" customHeight="1">
      <x:c r="A146" s="19" t="str">
        <x:v>R01–R04审计</x:v>
      </x:c>
      <x:c r="B146" s="19" t="str">
        <x:v>media-candidate-cambricon-584f775c215e</x:v>
      </x:c>
      <x:c r="C146" s="19" t="str">
        <x:v>寒武纪</x:v>
      </x:c>
      <x:c r="D146" s="19" t="str">
        <x:v>权威媒体候选</x:v>
      </x:c>
      <x:c r="E146" s="19" t="str">
        <x:v>玻璃基板市场高速增长，消费电子ETF易方达（562950）标的指数涨近4%</x:v>
      </x:c>
      <x:c r="F146" s="19"/>
      <x:c r="G146" s="19"/>
      <x:c r="H146" s="19"/>
      <x:c r="I146" s="19" t="str">
        <x:v>2026-06-18</x:v>
      </x:c>
      <x:c r="J146" s="19" t="str">
        <x:v>https://www.p5w.net/roll/zqzx/202606/t20260618_6480103.htm</x:v>
      </x:c>
      <x:c r="K146" s="19" t="str">
        <x:v>https://www.p5w.net/roll/zqzx/202606/t20260618_6480103.htm</x:v>
      </x:c>
      <x:c r="L146" s="19"/>
      <x:c r="M146" s="19"/>
      <x:c r="N146" s="19"/>
      <x:c r="O146" s="19" t="str">
        <x:v>candidate-only</x:v>
      </x:c>
      <x:c r="P146" s="33" t="b">
        <x:v>0</x:v>
      </x:c>
      <x:c r="Q146" s="19" t="n">
        <x:v>1</x:v>
      </x:c>
      <x:c r="R146" s="19" t="str">
        <x:v>conditional-local-file-unavailable</x:v>
      </x:c>
    </x:row>
    <x:row r="147" ht="15" hidden="0" customHeight="1">
      <x:c r="A147" s="19" t="str">
        <x:v>R01–R04审计</x:v>
      </x:c>
      <x:c r="B147" s="19" t="str">
        <x:v>media-candidate-cambricon-be5433b5b542</x:v>
      </x:c>
      <x:c r="C147" s="19" t="str">
        <x:v>寒武纪</x:v>
      </x:c>
      <x:c r="D147" s="19" t="str">
        <x:v>权威媒体候选</x:v>
      </x:c>
      <x:c r="E147" s="19" t="str">
        <x:v>近期AI硬件持续发力，PCB概念持续走高，人工智能ETF华夏（515070）涨3.94%</x:v>
      </x:c>
      <x:c r="F147" s="19"/>
      <x:c r="G147" s="19"/>
      <x:c r="H147" s="19"/>
      <x:c r="I147" s="19" t="str">
        <x:v>2026-06-18</x:v>
      </x:c>
      <x:c r="J147" s="19" t="str">
        <x:v>https://www.p5w.net/roll/zqzx/202606/t20260618_6480061.htm</x:v>
      </x:c>
      <x:c r="K147" s="19" t="str">
        <x:v>https://www.p5w.net/roll/zqzx/202606/t20260618_6480061.htm</x:v>
      </x:c>
      <x:c r="L147" s="19"/>
      <x:c r="M147" s="19"/>
      <x:c r="N147" s="19"/>
      <x:c r="O147" s="19" t="str">
        <x:v>candidate-only</x:v>
      </x:c>
      <x:c r="P147" s="33" t="b">
        <x:v>0</x:v>
      </x:c>
      <x:c r="Q147" s="19" t="n">
        <x:v>1</x:v>
      </x:c>
      <x:c r="R147" s="19" t="str">
        <x:v>conditional-local-file-unavailable</x:v>
      </x:c>
    </x:row>
    <x:row r="148" ht="21.600000381469727" hidden="0" customHeight="1">
      <x:c r="A148" s="19" t="str">
        <x:v>R01–R04审计</x:v>
      </x:c>
      <x:c r="B148" s="19" t="str">
        <x:v>media-candidate-cambricon-1622f4cceac3</x:v>
      </x:c>
      <x:c r="C148" s="19" t="str">
        <x:v>寒武纪</x:v>
      </x:c>
      <x:c r="D148" s="19" t="str">
        <x:v>权威媒体候选</x:v>
      </x:c>
      <x:c r="E148" s="19" t="str">
        <x:v>科创板为AI大模型企业开“绿色通道”，科创创业人工智能ETF易方达（159140）配置价值显现</x:v>
      </x:c>
      <x:c r="F148" s="19"/>
      <x:c r="G148" s="19"/>
      <x:c r="H148" s="19"/>
      <x:c r="I148" s="19" t="str">
        <x:v>2026-06-18</x:v>
      </x:c>
      <x:c r="J148" s="19" t="str">
        <x:v>https://www.p5w.net/roll/zqzx/202606/t20260618_6480051.htm</x:v>
      </x:c>
      <x:c r="K148" s="19" t="str">
        <x:v>https://www.p5w.net/roll/zqzx/202606/t20260618_6480051.htm</x:v>
      </x:c>
      <x:c r="L148" s="19"/>
      <x:c r="M148" s="19"/>
      <x:c r="N148" s="19"/>
      <x:c r="O148" s="19" t="str">
        <x:v>candidate-only</x:v>
      </x:c>
      <x:c r="P148" s="33" t="b">
        <x:v>0</x:v>
      </x:c>
      <x:c r="Q148" s="19" t="n">
        <x:v>1</x:v>
      </x:c>
      <x:c r="R148" s="19" t="str">
        <x:v>conditional-local-file-unavailable</x:v>
      </x:c>
    </x:row>
    <x:row r="149" ht="15" hidden="0" customHeight="1">
      <x:c r="A149" s="19" t="str">
        <x:v>R01–R04审计</x:v>
      </x:c>
      <x:c r="B149" s="19" t="str">
        <x:v>media-candidate-cambricon-a07394c09f0c</x:v>
      </x:c>
      <x:c r="C149" s="19" t="str">
        <x:v>寒武纪</x:v>
      </x:c>
      <x:c r="D149" s="19" t="str">
        <x:v>权威媒体候选</x:v>
      </x:c>
      <x:c r="E149" s="19" t="str">
        <x:v>MPO量价齐升逻辑清晰，科创创业50ETF鹏扬（588350）涨2.32%</x:v>
      </x:c>
      <x:c r="F149" s="19"/>
      <x:c r="G149" s="19"/>
      <x:c r="H149" s="19"/>
      <x:c r="I149" s="19" t="str">
        <x:v>2026-06-18</x:v>
      </x:c>
      <x:c r="J149" s="19" t="str">
        <x:v>https://www.p5w.net/roll/zqzx/202606/t20260618_6480049.htm</x:v>
      </x:c>
      <x:c r="K149" s="19" t="str">
        <x:v>https://www.p5w.net/roll/zqzx/202606/t20260618_6480049.htm</x:v>
      </x:c>
      <x:c r="L149" s="19"/>
      <x:c r="M149" s="19"/>
      <x:c r="N149" s="19"/>
      <x:c r="O149" s="19" t="str">
        <x:v>candidate-only</x:v>
      </x:c>
      <x:c r="P149" s="33" t="b">
        <x:v>0</x:v>
      </x:c>
      <x:c r="Q149" s="19" t="n">
        <x:v>1</x:v>
      </x:c>
      <x:c r="R149" s="19" t="str">
        <x:v>conditional-local-file-unavailable</x:v>
      </x:c>
    </x:row>
    <x:row r="150" ht="15" hidden="0" customHeight="1">
      <x:c r="A150" s="19" t="str">
        <x:v>R01–R04审计</x:v>
      </x:c>
      <x:c r="B150" s="19" t="str">
        <x:v>media-candidate-cambricon-b66dece6a85c</x:v>
      </x:c>
      <x:c r="C150" s="19" t="str">
        <x:v>寒武纪</x:v>
      </x:c>
      <x:c r="D150" s="19" t="str">
        <x:v>权威媒体候选</x:v>
      </x:c>
      <x:c r="E150" s="19" t="str">
        <x:v>一季度智能眼镜出货量暴增超130%，上市公司积极布局（附股）</x:v>
      </x:c>
      <x:c r="F150" s="19"/>
      <x:c r="G150" s="19"/>
      <x:c r="H150" s="19"/>
      <x:c r="I150" s="19" t="str">
        <x:v>2026-06-17</x:v>
      </x:c>
      <x:c r="J150" s="19" t="str">
        <x:v>https://www.p5w.net/roll/stock/202606/t20260617_6479653.htm</x:v>
      </x:c>
      <x:c r="K150" s="19" t="str">
        <x:v>https://www.p5w.net/roll/stock/202606/t20260617_6479653.htm</x:v>
      </x:c>
      <x:c r="L150" s="19"/>
      <x:c r="M150" s="19"/>
      <x:c r="N150" s="19"/>
      <x:c r="O150" s="19" t="str">
        <x:v>candidate-only</x:v>
      </x:c>
      <x:c r="P150" s="33" t="b">
        <x:v>0</x:v>
      </x:c>
      <x:c r="Q150" s="19" t="n">
        <x:v>1</x:v>
      </x:c>
      <x:c r="R150" s="19" t="str">
        <x:v>conditional-local-file-unavailable</x:v>
      </x:c>
    </x:row>
    <x:row r="151" ht="15" hidden="0" customHeight="1">
      <x:c r="A151" s="19" t="str">
        <x:v>R01–R04审计</x:v>
      </x:c>
      <x:c r="B151" s="19" t="str">
        <x:v>media-candidate-cambricon-bfdd3989b013</x:v>
      </x:c>
      <x:c r="C151" s="19" t="str">
        <x:v>寒武纪</x:v>
      </x:c>
      <x:c r="D151" s="19" t="str">
        <x:v>权威媒体候选</x:v>
      </x:c>
      <x:c r="E151" s="19" t="str">
        <x:v>美伊和平协议落地，全球金融市场情绪提振，数字经济ETF鹏扬（560800）涨3.32%</x:v>
      </x:c>
      <x:c r="F151" s="19"/>
      <x:c r="G151" s="19"/>
      <x:c r="H151" s="19"/>
      <x:c r="I151" s="19" t="str">
        <x:v>2026-06-15</x:v>
      </x:c>
      <x:c r="J151" s="19" t="str">
        <x:v>https://www.p5w.net/roll/zqzx/202606/t20260615_6479108.htm</x:v>
      </x:c>
      <x:c r="K151" s="19" t="str">
        <x:v>https://www.p5w.net/roll/zqzx/202606/t20260615_6479108.htm</x:v>
      </x:c>
      <x:c r="L151" s="19"/>
      <x:c r="M151" s="19"/>
      <x:c r="N151" s="19"/>
      <x:c r="O151" s="19" t="str">
        <x:v>candidate-only</x:v>
      </x:c>
      <x:c r="P151" s="33" t="b">
        <x:v>0</x:v>
      </x:c>
      <x:c r="Q151" s="19" t="n">
        <x:v>1</x:v>
      </x:c>
      <x:c r="R151" s="19" t="str">
        <x:v>conditional-local-file-unavailable</x:v>
      </x:c>
    </x:row>
    <x:row r="152" ht="15" hidden="0" customHeight="1">
      <x:c r="A152" s="19" t="str">
        <x:v>R01–R04审计</x:v>
      </x:c>
      <x:c r="B152" s="19" t="str">
        <x:v>media-candidate-cambricon-112f39cc685a</x:v>
      </x:c>
      <x:c r="C152" s="19" t="str">
        <x:v>寒武纪</x:v>
      </x:c>
      <x:c r="D152" s="19" t="str">
        <x:v>权威媒体候选</x:v>
      </x:c>
      <x:c r="E152" s="19" t="str">
        <x:v>AI商业化盈利拐点确认，天弘人工智能基金迎全链景气</x:v>
      </x:c>
      <x:c r="F152" s="19"/>
      <x:c r="G152" s="19"/>
      <x:c r="H152" s="19"/>
      <x:c r="I152" s="19" t="str">
        <x:v>2026-06-10</x:v>
      </x:c>
      <x:c r="J152" s="19" t="str">
        <x:v>https://www.p5w.net/roll/zqzx/202606/t20260610_6478119.htm</x:v>
      </x:c>
      <x:c r="K152" s="19" t="str">
        <x:v>https://www.p5w.net/roll/zqzx/202606/t20260610_6478119.htm</x:v>
      </x:c>
      <x:c r="L152" s="19"/>
      <x:c r="M152" s="19"/>
      <x:c r="N152" s="19"/>
      <x:c r="O152" s="19" t="str">
        <x:v>candidate-only</x:v>
      </x:c>
      <x:c r="P152" s="33" t="b">
        <x:v>0</x:v>
      </x:c>
      <x:c r="Q152" s="19" t="n">
        <x:v>1</x:v>
      </x:c>
      <x:c r="R152" s="19" t="str">
        <x:v>conditional-local-file-unavailable</x:v>
      </x:c>
    </x:row>
    <x:row r="153" ht="15" hidden="0" customHeight="1">
      <x:c r="A153" s="19" t="str">
        <x:v>R01–R04审计</x:v>
      </x:c>
      <x:c r="B153" s="19" t="str">
        <x:v>media-candidate-cambricon-4fbcc5693917</x:v>
      </x:c>
      <x:c r="C153" s="19" t="str">
        <x:v>寒武纪</x:v>
      </x:c>
      <x:c r="D153" s="19" t="str">
        <x:v>权威媒体候选</x:v>
      </x:c>
      <x:c r="E153" s="19" t="str">
        <x:v>A股，午后爆发！外资再现大动作</x:v>
      </x:c>
      <x:c r="F153" s="19"/>
      <x:c r="G153" s="19"/>
      <x:c r="H153" s="19"/>
      <x:c r="I153" s="19" t="str">
        <x:v>2026-06-09</x:v>
      </x:c>
      <x:c r="J153" s="19" t="str">
        <x:v>https://www.p5w.net/roll/zqzx/202606/t20260609_6477959.htm</x:v>
      </x:c>
      <x:c r="K153" s="19" t="str">
        <x:v>https://www.p5w.net/roll/zqzx/202606/t20260609_6477959.htm</x:v>
      </x:c>
      <x:c r="L153" s="19"/>
      <x:c r="M153" s="19"/>
      <x:c r="N153" s="19"/>
      <x:c r="O153" s="19" t="str">
        <x:v>candidate-only</x:v>
      </x:c>
      <x:c r="P153" s="33" t="b">
        <x:v>0</x:v>
      </x:c>
      <x:c r="Q153" s="19" t="n">
        <x:v>1</x:v>
      </x:c>
      <x:c r="R153" s="19" t="str">
        <x:v>conditional-local-file-unavailable</x:v>
      </x:c>
    </x:row>
    <x:row r="154" ht="15" hidden="0" customHeight="1">
      <x:c r="A154" s="19" t="str">
        <x:v>R01–R04审计</x:v>
      </x:c>
      <x:c r="B154" s="19" t="str">
        <x:v>media-candidate-cambricon-af083b821c6a</x:v>
      </x:c>
      <x:c r="C154" s="19" t="str">
        <x:v>寒武纪</x:v>
      </x:c>
      <x:c r="D154" s="19" t="str">
        <x:v>权威媒体候选</x:v>
      </x:c>
      <x:c r="E154" s="19" t="str">
        <x:v>英伟达押注AI PC芯片，科创创业50ETF鹏扬（588350）涨2.09%</x:v>
      </x:c>
      <x:c r="F154" s="19"/>
      <x:c r="G154" s="19"/>
      <x:c r="H154" s="19"/>
      <x:c r="I154" s="19" t="str">
        <x:v>2026-06-09</x:v>
      </x:c>
      <x:c r="J154" s="19" t="str">
        <x:v>https://www.p5w.net/roll/zqzx/202606/t20260609_6477827.htm</x:v>
      </x:c>
      <x:c r="K154" s="19" t="str">
        <x:v>https://www.p5w.net/roll/zqzx/202606/t20260609_6477827.htm</x:v>
      </x:c>
      <x:c r="L154" s="19"/>
      <x:c r="M154" s="19"/>
      <x:c r="N154" s="19"/>
      <x:c r="O154" s="19" t="str">
        <x:v>candidate-only</x:v>
      </x:c>
      <x:c r="P154" s="33" t="b">
        <x:v>0</x:v>
      </x:c>
      <x:c r="Q154" s="19" t="n">
        <x:v>1</x:v>
      </x:c>
      <x:c r="R154" s="19" t="str">
        <x:v>conditional-local-file-unavailable</x:v>
      </x:c>
    </x:row>
    <x:row r="155" ht="21.600000381469727" hidden="0" customHeight="1">
      <x:c r="A155" s="19" t="str">
        <x:v>R01–R04审计</x:v>
      </x:c>
      <x:c r="B155" s="19" t="str">
        <x:v>media-candidate-cambricon-37efae254849</x:v>
      </x:c>
      <x:c r="C155" s="19" t="str">
        <x:v>寒武纪</x:v>
      </x:c>
      <x:c r="D155" s="19" t="str">
        <x:v>权威媒体候选</x:v>
      </x:c>
      <x:c r="E155" s="19" t="str">
        <x:v>黄仁勋：AI产业基本面依然强劲；芯片ETF华夏（159995）今日反弹，早盘上涨2.44%</x:v>
      </x:c>
      <x:c r="F155" s="19"/>
      <x:c r="G155" s="19"/>
      <x:c r="H155" s="19"/>
      <x:c r="I155" s="19" t="str">
        <x:v>2026-06-09</x:v>
      </x:c>
      <x:c r="J155" s="19" t="str">
        <x:v>https://www.p5w.net/roll/zqzx/202606/t20260609_6477811.htm</x:v>
      </x:c>
      <x:c r="K155" s="19" t="str">
        <x:v>https://www.p5w.net/roll/zqzx/202606/t20260609_6477811.htm</x:v>
      </x:c>
      <x:c r="L155" s="19"/>
      <x:c r="M155" s="19"/>
      <x:c r="N155" s="19"/>
      <x:c r="O155" s="19" t="str">
        <x:v>candidate-only</x:v>
      </x:c>
      <x:c r="P155" s="33" t="b">
        <x:v>0</x:v>
      </x:c>
      <x:c r="Q155" s="19" t="n">
        <x:v>1</x:v>
      </x:c>
      <x:c r="R155" s="19" t="str">
        <x:v>conditional-local-file-unavailable</x:v>
      </x:c>
    </x:row>
    <x:row r="156" ht="15" hidden="0" customHeight="1">
      <x:c r="A156" s="19" t="str">
        <x:v>R01–R04审计</x:v>
      </x:c>
      <x:c r="B156" s="19" t="str">
        <x:v>media-candidate-cambricon-2e8830ce0ed4</x:v>
      </x:c>
      <x:c r="C156" s="19" t="str">
        <x:v>寒武纪</x:v>
      </x:c>
      <x:c r="D156" s="19" t="str">
        <x:v>权威媒体候选</x:v>
      </x:c>
      <x:c r="E156" s="19" t="str">
        <x:v>半导体封测新龙，600667，高歌猛进？</x:v>
      </x:c>
      <x:c r="F156" s="19"/>
      <x:c r="G156" s="19"/>
      <x:c r="H156" s="19"/>
      <x:c r="I156" s="19" t="str">
        <x:v>2026-06-05</x:v>
      </x:c>
      <x:c r="J156" s="19" t="str">
        <x:v>https://www.p5w.net/roll/pcj/202606/t20260605_6477362.htm</x:v>
      </x:c>
      <x:c r="K156" s="19" t="str">
        <x:v>https://www.p5w.net/roll/pcj/202606/t20260605_6477362.htm</x:v>
      </x:c>
      <x:c r="L156" s="19"/>
      <x:c r="M156" s="19"/>
      <x:c r="N156" s="19"/>
      <x:c r="O156" s="19" t="str">
        <x:v>candidate-only</x:v>
      </x:c>
      <x:c r="P156" s="33" t="b">
        <x:v>0</x:v>
      </x:c>
      <x:c r="Q156" s="19" t="n">
        <x:v>1</x:v>
      </x:c>
      <x:c r="R156" s="19" t="str">
        <x:v>conditional-local-file-unavailable</x:v>
      </x:c>
    </x:row>
    <x:row r="157" ht="21.600000381469727" hidden="0" customHeight="1">
      <x:c r="A157" s="19" t="str">
        <x:v>R01–R04审计</x:v>
      </x:c>
      <x:c r="B157" s="19" t="str">
        <x:v>media-candidate-cambricon-cd2b5950b45f</x:v>
      </x:c>
      <x:c r="C157" s="19" t="str">
        <x:v>寒武纪</x:v>
      </x:c>
      <x:c r="D157" s="19" t="str">
        <x:v>权威媒体候选</x:v>
      </x:c>
      <x:c r="E157" s="19" t="str">
        <x:v>模拟IC大厂涨价利好国产替代，芯片ETF华夏（159995）涨超2.42%，景气持续延产业链环节传导</x:v>
      </x:c>
      <x:c r="F157" s="19"/>
      <x:c r="G157" s="19"/>
      <x:c r="H157" s="19"/>
      <x:c r="I157" s="19" t="str">
        <x:v>2026-06-04</x:v>
      </x:c>
      <x:c r="J157" s="19" t="str">
        <x:v>https://www.p5w.net/roll/zqzx/202606/t20260604_6476621.htm</x:v>
      </x:c>
      <x:c r="K157" s="19" t="str">
        <x:v>https://www.p5w.net/roll/zqzx/202606/t20260604_6476621.htm</x:v>
      </x:c>
      <x:c r="L157" s="19"/>
      <x:c r="M157" s="19"/>
      <x:c r="N157" s="19"/>
      <x:c r="O157" s="19" t="str">
        <x:v>candidate-only</x:v>
      </x:c>
      <x:c r="P157" s="33" t="b">
        <x:v>0</x:v>
      </x:c>
      <x:c r="Q157" s="19" t="n">
        <x:v>1</x:v>
      </x:c>
      <x:c r="R157" s="19" t="str">
        <x:v>conditional-local-file-unavailable</x:v>
      </x:c>
    </x:row>
    <x:row r="158" ht="15" hidden="0" customHeight="1">
      <x:c r="A158" s="19" t="str">
        <x:v>R01–R04审计</x:v>
      </x:c>
      <x:c r="B158" s="19" t="str">
        <x:v>media-candidate-cambricon-257a0910389b</x:v>
      </x:c>
      <x:c r="C158" s="19" t="str">
        <x:v>寒武纪</x:v>
      </x:c>
      <x:c r="D158" s="19" t="str">
        <x:v>权威媒体候选</x:v>
      </x:c>
      <x:c r="E158" s="19" t="str">
        <x:v>易方达科创50ETF：科技创新主线强势回归，资金借道布局核心资产</x:v>
      </x:c>
      <x:c r="F158" s="19"/>
      <x:c r="G158" s="19"/>
      <x:c r="H158" s="19"/>
      <x:c r="I158" s="19" t="str">
        <x:v>2026-06-03</x:v>
      </x:c>
      <x:c r="J158" s="19" t="str">
        <x:v>https://www.p5w.net/roll/pcj/202606/t20260603_6476382.htm</x:v>
      </x:c>
      <x:c r="K158" s="19" t="str">
        <x:v>https://www.p5w.net/roll/pcj/202606/t20260603_6476382.htm</x:v>
      </x:c>
      <x:c r="L158" s="19"/>
      <x:c r="M158" s="19"/>
      <x:c r="N158" s="19"/>
      <x:c r="O158" s="19" t="str">
        <x:v>candidate-only</x:v>
      </x:c>
      <x:c r="P158" s="33" t="b">
        <x:v>0</x:v>
      </x:c>
      <x:c r="Q158" s="19" t="n">
        <x:v>1</x:v>
      </x:c>
      <x:c r="R158" s="19" t="str">
        <x:v>conditional-local-file-unavailable</x:v>
      </x:c>
    </x:row>
    <x:row r="159" ht="15" hidden="0" customHeight="1">
      <x:c r="A159" s="19" t="str">
        <x:v>R01–R04审计</x:v>
      </x:c>
      <x:c r="B159" s="19" t="str">
        <x:v>media-candidate-cambricon-dccc413ad46f</x:v>
      </x:c>
      <x:c r="C159" s="19" t="str">
        <x:v>寒武纪</x:v>
      </x:c>
      <x:c r="D159" s="19" t="str">
        <x:v>权威媒体候选</x:v>
      </x:c>
      <x:c r="E159" s="19" t="str">
        <x:v>美股三大万亿级科技巨头接连启动上市，数字经济ETF鹏扬（560800）涨2.56%</x:v>
      </x:c>
      <x:c r="F159" s="19"/>
      <x:c r="G159" s="19"/>
      <x:c r="H159" s="19"/>
      <x:c r="I159" s="19" t="str">
        <x:v>2026-06-03</x:v>
      </x:c>
      <x:c r="J159" s="19" t="str">
        <x:v>https://www.p5w.net/roll/zqzx/202606/t20260603_6476329.htm</x:v>
      </x:c>
      <x:c r="K159" s="19" t="str">
        <x:v>https://www.p5w.net/roll/zqzx/202606/t20260603_6476329.htm</x:v>
      </x:c>
      <x:c r="L159" s="19"/>
      <x:c r="M159" s="19"/>
      <x:c r="N159" s="19"/>
      <x:c r="O159" s="19" t="str">
        <x:v>candidate-only</x:v>
      </x:c>
      <x:c r="P159" s="33" t="b">
        <x:v>0</x:v>
      </x:c>
      <x:c r="Q159" s="19" t="n">
        <x:v>1</x:v>
      </x:c>
      <x:c r="R159" s="19" t="str">
        <x:v>conditional-local-file-unavailable</x:v>
      </x:c>
    </x:row>
    <x:row r="160" ht="15" hidden="0" customHeight="1">
      <x:c r="A160" s="19" t="str">
        <x:v>R01–R04审计</x:v>
      </x:c>
      <x:c r="B160" s="19" t="str">
        <x:v>media-candidate-cambricon-6d90a4f71b7a</x:v>
      </x:c>
      <x:c r="C160" s="19" t="str">
        <x:v>寒武纪</x:v>
      </x:c>
      <x:c r="D160" s="19" t="str">
        <x:v>权威媒体候选</x:v>
      </x:c>
      <x:c r="E160" s="19" t="str">
        <x:v>连接芯片风口叠加存储紧缺，芯片ETF华夏（159995）涨超3.63%，通富微电涨停</x:v>
      </x:c>
      <x:c r="F160" s="19"/>
      <x:c r="G160" s="19"/>
      <x:c r="H160" s="19"/>
      <x:c r="I160" s="19" t="str">
        <x:v>2026-06-03</x:v>
      </x:c>
      <x:c r="J160" s="19" t="str">
        <x:v>https://www.p5w.net/roll/zqzx/202606/t20260603_6476313.htm</x:v>
      </x:c>
      <x:c r="K160" s="19" t="str">
        <x:v>https://www.p5w.net/roll/zqzx/202606/t20260603_6476313.htm</x:v>
      </x:c>
      <x:c r="L160" s="19"/>
      <x:c r="M160" s="19"/>
      <x:c r="N160" s="19"/>
      <x:c r="O160" s="19" t="str">
        <x:v>candidate-only</x:v>
      </x:c>
      <x:c r="P160" s="33" t="b">
        <x:v>0</x:v>
      </x:c>
      <x:c r="Q160" s="19" t="n">
        <x:v>1</x:v>
      </x:c>
      <x:c r="R160" s="19" t="str">
        <x:v>conditional-local-file-unavailable</x:v>
      </x:c>
    </x:row>
    <x:row r="161" ht="15" hidden="0" customHeight="1">
      <x:c r="A161" s="19" t="str">
        <x:v>R01–R04审计</x:v>
      </x:c>
      <x:c r="B161" s="19" t="str">
        <x:v>media-candidate-cambricon-052a9d011974</x:v>
      </x:c>
      <x:c r="C161" s="19" t="str">
        <x:v>寒武纪</x:v>
      </x:c>
      <x:c r="D161" s="19" t="str">
        <x:v>权威媒体候选</x:v>
      </x:c>
      <x:c r="E161" s="19" t="str">
        <x:v>突发大涨！6月金股出炉（名单）</x:v>
      </x:c>
      <x:c r="F161" s="19"/>
      <x:c r="G161" s="19"/>
      <x:c r="H161" s="19"/>
      <x:c r="I161" s="19" t="str">
        <x:v>2026-06-02</x:v>
      </x:c>
      <x:c r="J161" s="19" t="str">
        <x:v>https://www.p5w.net/roll/zqzx/202606/t20260602_6476115.htm</x:v>
      </x:c>
      <x:c r="K161" s="19" t="str">
        <x:v>https://www.p5w.net/roll/zqzx/202606/t20260602_6476115.htm</x:v>
      </x:c>
      <x:c r="L161" s="19"/>
      <x:c r="M161" s="19"/>
      <x:c r="N161" s="19"/>
      <x:c r="O161" s="19" t="str">
        <x:v>candidate-only</x:v>
      </x:c>
      <x:c r="P161" s="33" t="b">
        <x:v>0</x:v>
      </x:c>
      <x:c r="Q161" s="19" t="n">
        <x:v>1</x:v>
      </x:c>
      <x:c r="R161" s="19" t="str">
        <x:v>conditional-local-file-unavailable</x:v>
      </x:c>
    </x:row>
    <x:row r="162" ht="21.600000381469727" hidden="0" customHeight="1">
      <x:c r="A162" s="19" t="str">
        <x:v>R01–R04审计</x:v>
      </x:c>
      <x:c r="B162" s="19" t="str">
        <x:v>media-candidate-cambricon-af91407cba7e</x:v>
      </x:c>
      <x:c r="C162" s="19" t="str">
        <x:v>寒武纪</x:v>
      </x:c>
      <x:c r="D162" s="19" t="str">
        <x:v>权威媒体候选</x:v>
      </x:c>
      <x:c r="E162" s="19" t="str">
        <x:v>英伟达联手宇树、Sharpa打造参考人形机器人，科创创业50ETF鹏扬（588350）涨1.77%</x:v>
      </x:c>
      <x:c r="F162" s="19"/>
      <x:c r="G162" s="19"/>
      <x:c r="H162" s="19"/>
      <x:c r="I162" s="19" t="str">
        <x:v>2026-06-02</x:v>
      </x:c>
      <x:c r="J162" s="19" t="str">
        <x:v>https://www.p5w.net/roll/zqzx/202606/t20260602_6476004.htm</x:v>
      </x:c>
      <x:c r="K162" s="19" t="str">
        <x:v>https://www.p5w.net/roll/zqzx/202606/t20260602_6476004.htm</x:v>
      </x:c>
      <x:c r="L162" s="19"/>
      <x:c r="M162" s="19"/>
      <x:c r="N162" s="19"/>
      <x:c r="O162" s="19" t="str">
        <x:v>candidate-only</x:v>
      </x:c>
      <x:c r="P162" s="33" t="b">
        <x:v>0</x:v>
      </x:c>
      <x:c r="Q162" s="19" t="n">
        <x:v>1</x:v>
      </x:c>
      <x:c r="R162" s="19" t="str">
        <x:v>conditional-local-file-unavailable</x:v>
      </x:c>
    </x:row>
    <x:row r="163" ht="21.600000381469727" hidden="0" customHeight="1">
      <x:c r="A163" s="19" t="str">
        <x:v>R01–R04审计</x:v>
      </x:c>
      <x:c r="B163" s="19" t="str">
        <x:v>media-candidate-cambricon-2f1336b814c9</x:v>
      </x:c>
      <x:c r="C163" s="19" t="str">
        <x:v>寒武纪</x:v>
      </x:c>
      <x:c r="D163" s="19" t="str">
        <x:v>权威媒体候选</x:v>
      </x:c>
      <x:c r="E163" s="19" t="str">
        <x:v>证券行业布局“Skills”，科创人工智能ETF华夏（589010）早盘回调，近半年累计上涨超15%！</x:v>
      </x:c>
      <x:c r="F163" s="19"/>
      <x:c r="G163" s="19"/>
      <x:c r="H163" s="19"/>
      <x:c r="I163" s="19" t="str">
        <x:v>2026-06-02</x:v>
      </x:c>
      <x:c r="J163" s="19" t="str">
        <x:v>https://www.p5w.net/roll/zqzx/202606/t20260602_6475874.htm</x:v>
      </x:c>
      <x:c r="K163" s="19" t="str">
        <x:v>https://www.p5w.net/roll/zqzx/202606/t20260602_6475874.htm</x:v>
      </x:c>
      <x:c r="L163" s="19"/>
      <x:c r="M163" s="19"/>
      <x:c r="N163" s="19"/>
      <x:c r="O163" s="19" t="str">
        <x:v>candidate-only</x:v>
      </x:c>
      <x:c r="P163" s="33" t="b">
        <x:v>0</x:v>
      </x:c>
      <x:c r="Q163" s="19" t="n">
        <x:v>1</x:v>
      </x:c>
      <x:c r="R163" s="19" t="str">
        <x:v>conditional-local-file-unavailable</x:v>
      </x:c>
    </x:row>
    <x:row r="164" ht="15" hidden="0" customHeight="1">
      <x:c r="A164" s="19" t="str">
        <x:v>R01–R04审计</x:v>
      </x:c>
      <x:c r="B164" s="19" t="str">
        <x:v>media-candidate-cambricon-b45288583c0d</x:v>
      </x:c>
      <x:c r="C164" s="19" t="str">
        <x:v>寒武纪</x:v>
      </x:c>
      <x:c r="D164" s="19" t="str">
        <x:v>权威媒体候选</x:v>
      </x:c>
      <x:c r="E164" s="19" t="str">
        <x:v>券商6月金股组合出炉！5月最牛金股涨幅翻倍，6月电子板块最受青睐</x:v>
      </x:c>
      <x:c r="F164" s="19"/>
      <x:c r="G164" s="19"/>
      <x:c r="H164" s="19"/>
      <x:c r="I164" s="19" t="str">
        <x:v>2026-06-01</x:v>
      </x:c>
      <x:c r="J164" s="19" t="str">
        <x:v>https://www.p5w.net/roll/stock/202606/t20260601_6475542.htm</x:v>
      </x:c>
      <x:c r="K164" s="19" t="str">
        <x:v>https://www.p5w.net/roll/stock/202606/t20260601_6475542.htm</x:v>
      </x:c>
      <x:c r="L164" s="19"/>
      <x:c r="M164" s="19"/>
      <x:c r="N164" s="19"/>
      <x:c r="O164" s="19" t="str">
        <x:v>candidate-only</x:v>
      </x:c>
      <x:c r="P164" s="33" t="b">
        <x:v>0</x:v>
      </x:c>
      <x:c r="Q164" s="19" t="n">
        <x:v>1</x:v>
      </x:c>
      <x:c r="R164" s="19" t="str">
        <x:v>conditional-local-file-unavailable</x:v>
      </x:c>
    </x:row>
    <x:row r="165" ht="15" hidden="0" customHeight="1">
      <x:c r="A165" s="19" t="str">
        <x:v>R01–R04审计</x:v>
      </x:c>
      <x:c r="B165" s="19" t="str">
        <x:v>media-candidate-cambricon-50de70df7dbb</x:v>
      </x:c>
      <x:c r="C165" s="19" t="str">
        <x:v>寒武纪</x:v>
      </x:c>
      <x:c r="D165" s="19" t="str">
        <x:v>权威媒体候选</x:v>
      </x:c>
      <x:c r="E165" s="19" t="str">
        <x:v>“小爆款”基金频出！数量与规模双攀升！5月新基金发行破千亿元</x:v>
      </x:c>
      <x:c r="F165" s="19"/>
      <x:c r="G165" s="19"/>
      <x:c r="H165" s="19"/>
      <x:c r="I165" s="19" t="str">
        <x:v>2026-06-01</x:v>
      </x:c>
      <x:c r="J165" s="19" t="str">
        <x:v>https://www.p5w.net/roll/fund/202606/t20260601_6475539.htm</x:v>
      </x:c>
      <x:c r="K165" s="19" t="str">
        <x:v>https://www.p5w.net/roll/fund/202606/t20260601_6475539.htm</x:v>
      </x:c>
      <x:c r="L165" s="19"/>
      <x:c r="M165" s="19"/>
      <x:c r="N165" s="19"/>
      <x:c r="O165" s="19" t="str">
        <x:v>candidate-only</x:v>
      </x:c>
      <x:c r="P165" s="33" t="b">
        <x:v>0</x:v>
      </x:c>
      <x:c r="Q165" s="19" t="n">
        <x:v>1</x:v>
      </x:c>
      <x:c r="R165" s="19" t="str">
        <x:v>conditional-local-file-unavailable</x:v>
      </x:c>
    </x:row>
    <x:row r="166" ht="15" hidden="0" customHeight="1">
      <x:c r="A166" s="19" t="str">
        <x:v>R01–R04审计</x:v>
      </x:c>
      <x:c r="B166" s="19" t="str">
        <x:v>media-candidate-cambricon-1ea77e04f384</x:v>
      </x:c>
      <x:c r="C166" s="19" t="str">
        <x:v>寒武纪</x:v>
      </x:c>
      <x:c r="D166" s="19" t="str">
        <x:v>权威媒体候选</x:v>
      </x:c>
      <x:c r="E166" s="19" t="str">
        <x:v>突发利空！美联储，大消息</x:v>
      </x:c>
      <x:c r="F166" s="19"/>
      <x:c r="G166" s="19"/>
      <x:c r="H166" s="19"/>
      <x:c r="I166" s="19" t="str">
        <x:v>2026-05-29</x:v>
      </x:c>
      <x:c r="J166" s="19" t="str">
        <x:v>https://www.p5w.net/roll/zqzx/202605/t20260529_6475317.htm</x:v>
      </x:c>
      <x:c r="K166" s="19" t="str">
        <x:v>https://www.p5w.net/roll/zqzx/202605/t20260529_6475317.htm</x:v>
      </x:c>
      <x:c r="L166" s="19"/>
      <x:c r="M166" s="19"/>
      <x:c r="N166" s="19"/>
      <x:c r="O166" s="19" t="str">
        <x:v>candidate-only</x:v>
      </x:c>
      <x:c r="P166" s="33" t="b">
        <x:v>0</x:v>
      </x:c>
      <x:c r="Q166" s="19" t="n">
        <x:v>1</x:v>
      </x:c>
      <x:c r="R166" s="19" t="str">
        <x:v>conditional-local-file-unavailable</x:v>
      </x:c>
    </x:row>
    <x:row r="167" ht="15" hidden="0" customHeight="1">
      <x:c r="A167" s="19" t="str">
        <x:v>R01–R04审计</x:v>
      </x:c>
      <x:c r="B167" s="19" t="str">
        <x:v>media-candidate-cambricon-fc6f57419a05</x:v>
      </x:c>
      <x:c r="C167" s="19" t="str">
        <x:v>寒武纪</x:v>
      </x:c>
      <x:c r="D167" s="19" t="str">
        <x:v>权威媒体候选</x:v>
      </x:c>
      <x:c r="E167" s="19" t="str">
        <x:v>天立国际斩获2026福布斯中国人工智能科技企业TOP50评选榜单三大荣誉</x:v>
      </x:c>
      <x:c r="F167" s="19"/>
      <x:c r="G167" s="19"/>
      <x:c r="H167" s="19"/>
      <x:c r="I167" s="19" t="str">
        <x:v>2026-05-29</x:v>
      </x:c>
      <x:c r="J167" s="19" t="str">
        <x:v>https://www.p5w.net/roll/pcj/202605/t20260529_6475328.htm</x:v>
      </x:c>
      <x:c r="K167" s="19" t="str">
        <x:v>https://www.p5w.net/roll/pcj/202605/t20260529_6475328.htm</x:v>
      </x:c>
      <x:c r="L167" s="19"/>
      <x:c r="M167" s="19"/>
      <x:c r="N167" s="19"/>
      <x:c r="O167" s="19" t="str">
        <x:v>candidate-only</x:v>
      </x:c>
      <x:c r="P167" s="33" t="b">
        <x:v>0</x:v>
      </x:c>
      <x:c r="Q167" s="19" t="n">
        <x:v>1</x:v>
      </x:c>
      <x:c r="R167" s="19" t="str">
        <x:v>conditional-local-file-unavailable</x:v>
      </x:c>
    </x:row>
    <x:row r="168" ht="15" hidden="0" customHeight="1">
      <x:c r="A168" s="19" t="str">
        <x:v>R01–R04审计</x:v>
      </x:c>
      <x:c r="B168" s="19" t="str">
        <x:v>media-candidate-cambricon-2680b8e62aa7</x:v>
      </x:c>
      <x:c r="C168" s="19" t="str">
        <x:v>寒武纪</x:v>
      </x:c>
      <x:c r="D168" s="19" t="str">
        <x:v>权威媒体候选</x:v>
      </x:c>
      <x:c r="E168" s="19" t="str">
        <x:v>龙头业绩印证AI算力需求高增，人工智能ETF易方达（159819）交投活跃</x:v>
      </x:c>
      <x:c r="F168" s="19"/>
      <x:c r="G168" s="19"/>
      <x:c r="H168" s="19"/>
      <x:c r="I168" s="19" t="str">
        <x:v>2026-05-29</x:v>
      </x:c>
      <x:c r="J168" s="19" t="str">
        <x:v>https://www.p5w.net/roll/zqzx/202605/t20260529_6475301.htm</x:v>
      </x:c>
      <x:c r="K168" s="19" t="str">
        <x:v>https://www.p5w.net/roll/zqzx/202605/t20260529_6475301.htm</x:v>
      </x:c>
      <x:c r="L168" s="19"/>
      <x:c r="M168" s="19"/>
      <x:c r="N168" s="19"/>
      <x:c r="O168" s="19" t="str">
        <x:v>candidate-only</x:v>
      </x:c>
      <x:c r="P168" s="33" t="b">
        <x:v>0</x:v>
      </x:c>
      <x:c r="Q168" s="19" t="n">
        <x:v>1</x:v>
      </x:c>
      <x:c r="R168" s="19" t="str">
        <x:v>conditional-local-file-unavailable</x:v>
      </x:c>
    </x:row>
    <x:row r="169" ht="21.600000381469727" hidden="0" customHeight="1">
      <x:c r="A169" s="19" t="str">
        <x:v>R01–R04审计</x:v>
      </x:c>
      <x:c r="B169" s="19" t="str">
        <x:v>media-candidate-cambricon-ff51ea652fd3</x:v>
      </x:c>
      <x:c r="C169" s="19" t="str">
        <x:v>寒武纪</x:v>
      </x:c>
      <x:c r="D169" s="19" t="str">
        <x:v>权威媒体候选</x:v>
      </x:c>
      <x:c r="E169" s="19" t="str">
        <x:v>AI与机器人盘前速递丨scaleX万卡超集群亮相世界智能产业博览会，小鹏IRON人形机器人将进入ET2软硬件合围阶段</x:v>
      </x:c>
      <x:c r="F169" s="19"/>
      <x:c r="G169" s="19"/>
      <x:c r="H169" s="19"/>
      <x:c r="I169" s="19" t="str">
        <x:v>2026-05-29</x:v>
      </x:c>
      <x:c r="J169" s="19" t="str">
        <x:v>https://www.p5w.net/roll/zqzx/202605/t20260529_6475111.htm</x:v>
      </x:c>
      <x:c r="K169" s="19" t="str">
        <x:v>https://www.p5w.net/roll/zqzx/202605/t20260529_6475111.htm</x:v>
      </x:c>
      <x:c r="L169" s="19"/>
      <x:c r="M169" s="19"/>
      <x:c r="N169" s="19"/>
      <x:c r="O169" s="19" t="str">
        <x:v>candidate-only</x:v>
      </x:c>
      <x:c r="P169" s="33" t="b">
        <x:v>0</x:v>
      </x:c>
      <x:c r="Q169" s="19" t="n">
        <x:v>1</x:v>
      </x:c>
      <x:c r="R169" s="19" t="str">
        <x:v>conditional-local-file-unavailable</x:v>
      </x:c>
    </x:row>
    <x:row r="170" ht="15" hidden="0" customHeight="1">
      <x:c r="A170" s="19" t="str">
        <x:v>R01–R04审计</x:v>
      </x:c>
      <x:c r="B170" s="19" t="str">
        <x:v>media-candidate-cambricon-d2cb8a7b052f</x:v>
      </x:c>
      <x:c r="C170" s="19" t="str">
        <x:v>寒武纪</x:v>
      </x:c>
      <x:c r="D170" s="19" t="str">
        <x:v>权威媒体候选</x:v>
      </x:c>
      <x:c r="E170" s="19" t="str">
        <x:v>都是芯片ETF，差别在哪？</x:v>
      </x:c>
      <x:c r="F170" s="19"/>
      <x:c r="G170" s="19"/>
      <x:c r="H170" s="19"/>
      <x:c r="I170" s="19" t="str">
        <x:v>2026-05-28</x:v>
      </x:c>
      <x:c r="J170" s="19" t="str">
        <x:v>https://www.p5w.net/roll/zqzx/202605/t20260528_6474990.htm</x:v>
      </x:c>
      <x:c r="K170" s="19" t="str">
        <x:v>https://www.p5w.net/roll/zqzx/202605/t20260528_6474990.htm</x:v>
      </x:c>
      <x:c r="L170" s="19"/>
      <x:c r="M170" s="19"/>
      <x:c r="N170" s="19"/>
      <x:c r="O170" s="19" t="str">
        <x:v>candidate-only</x:v>
      </x:c>
      <x:c r="P170" s="33" t="b">
        <x:v>0</x:v>
      </x:c>
      <x:c r="Q170" s="19" t="n">
        <x:v>1</x:v>
      </x:c>
      <x:c r="R170" s="19" t="str">
        <x:v>conditional-local-file-unavailable</x:v>
      </x:c>
    </x:row>
    <x:row r="171" ht="15" hidden="0" customHeight="1">
      <x:c r="A171" s="19" t="str">
        <x:v>R01–R04审计</x:v>
      </x:c>
      <x:c r="B171" s="19" t="str">
        <x:v>media-candidate-cambricon-171d0a7de078</x:v>
      </x:c>
      <x:c r="C171" s="19" t="str">
        <x:v>寒武纪</x:v>
      </x:c>
      <x:c r="D171" s="19" t="str">
        <x:v>权威媒体候选</x:v>
      </x:c>
      <x:c r="E171" s="19" t="str">
        <x:v>半导体火了，新手该怎么参与？</x:v>
      </x:c>
      <x:c r="F171" s="19"/>
      <x:c r="G171" s="19"/>
      <x:c r="H171" s="19"/>
      <x:c r="I171" s="19" t="str">
        <x:v>2026-05-28</x:v>
      </x:c>
      <x:c r="J171" s="19" t="str">
        <x:v>https://www.p5w.net/roll/zqzx/202605/t20260528_6474923.htm</x:v>
      </x:c>
      <x:c r="K171" s="19" t="str">
        <x:v>https://www.p5w.net/roll/zqzx/202605/t20260528_6474923.htm</x:v>
      </x:c>
      <x:c r="L171" s="19"/>
      <x:c r="M171" s="19"/>
      <x:c r="N171" s="19"/>
      <x:c r="O171" s="19" t="str">
        <x:v>candidate-only</x:v>
      </x:c>
      <x:c r="P171" s="33" t="b">
        <x:v>0</x:v>
      </x:c>
      <x:c r="Q171" s="19" t="n">
        <x:v>1</x:v>
      </x:c>
      <x:c r="R171" s="19" t="str">
        <x:v>conditional-local-file-unavailable</x:v>
      </x:c>
    </x:row>
    <x:row r="172" ht="15" hidden="0" customHeight="1">
      <x:c r="A172" s="19" t="str">
        <x:v>R01–R04审计</x:v>
      </x:c>
      <x:c r="B172" s="19" t="str">
        <x:v>media-candidate-cambricon-3b2a3b5b5293</x:v>
      </x:c>
      <x:c r="C172" s="19" t="str">
        <x:v>寒武纪</x:v>
      </x:c>
      <x:c r="D172" s="19" t="str">
        <x:v>权威媒体候选</x:v>
      </x:c>
      <x:c r="E172" s="19" t="str">
        <x:v>家庭资产配置想参与半导体？一张“赛道入场券”就够了</x:v>
      </x:c>
      <x:c r="F172" s="19"/>
      <x:c r="G172" s="19"/>
      <x:c r="H172" s="19"/>
      <x:c r="I172" s="19" t="str">
        <x:v>2026-05-27</x:v>
      </x:c>
      <x:c r="J172" s="19" t="str">
        <x:v>https://www.p5w.net/roll/zqzx/202605/t20260527_6474707.htm</x:v>
      </x:c>
      <x:c r="K172" s="19" t="str">
        <x:v>https://www.p5w.net/roll/zqzx/202605/t20260527_6474707.htm</x:v>
      </x:c>
      <x:c r="L172" s="19"/>
      <x:c r="M172" s="19"/>
      <x:c r="N172" s="19"/>
      <x:c r="O172" s="19" t="str">
        <x:v>candidate-only</x:v>
      </x:c>
      <x:c r="P172" s="33" t="b">
        <x:v>0</x:v>
      </x:c>
      <x:c r="Q172" s="19" t="n">
        <x:v>1</x:v>
      </x:c>
      <x:c r="R172" s="19" t="str">
        <x:v>conditional-local-file-unavailable</x:v>
      </x:c>
    </x:row>
    <x:row r="173" ht="15" hidden="0" customHeight="1">
      <x:c r="A173" s="19" t="str">
        <x:v>R01–R04审计</x:v>
      </x:c>
      <x:c r="B173" s="19" t="str">
        <x:v>media-candidate-cambricon-0c30d2a511c8</x:v>
      </x:c>
      <x:c r="C173" s="19" t="str">
        <x:v>寒武纪</x:v>
      </x:c>
      <x:c r="D173" s="19" t="str">
        <x:v>权威媒体候选</x:v>
      </x:c>
      <x:c r="E173" s="19" t="str">
        <x:v>当消费电子遇上AI，这只ETF华丽变身“七姐妹”供应商</x:v>
      </x:c>
      <x:c r="F173" s="19"/>
      <x:c r="G173" s="19"/>
      <x:c r="H173" s="19"/>
      <x:c r="I173" s="19" t="str">
        <x:v>2026-05-27</x:v>
      </x:c>
      <x:c r="J173" s="19" t="str">
        <x:v>https://www.p5w.net/roll/zqzx/202605/t20260527_6474654.htm</x:v>
      </x:c>
      <x:c r="K173" s="19" t="str">
        <x:v>https://www.p5w.net/roll/zqzx/202605/t20260527_6474654.htm</x:v>
      </x:c>
      <x:c r="L173" s="19"/>
      <x:c r="M173" s="19"/>
      <x:c r="N173" s="19"/>
      <x:c r="O173" s="19" t="str">
        <x:v>candidate-only</x:v>
      </x:c>
      <x:c r="P173" s="33" t="b">
        <x:v>0</x:v>
      </x:c>
      <x:c r="Q173" s="19" t="n">
        <x:v>1</x:v>
      </x:c>
      <x:c r="R173" s="19" t="str">
        <x:v>conditional-local-file-unavailable</x:v>
      </x:c>
    </x:row>
    <x:row r="174" ht="15" hidden="0" customHeight="1">
      <x:c r="A174" s="19" t="str">
        <x:v>R01–R04审计</x:v>
      </x:c>
      <x:c r="B174" s="19" t="str">
        <x:v>media-candidate-cambricon-656f412ea460</x:v>
      </x:c>
      <x:c r="C174" s="19" t="str">
        <x:v>寒武纪</x:v>
      </x:c>
      <x:c r="D174" s="19" t="str">
        <x:v>权威媒体候选</x:v>
      </x:c>
      <x:c r="E174" s="19" t="str">
        <x:v>中国半导体“第一人气股”，历史新高，真爆了啊！</x:v>
      </x:c>
      <x:c r="F174" s="19"/>
      <x:c r="G174" s="19"/>
      <x:c r="H174" s="19"/>
      <x:c r="I174" s="19" t="str">
        <x:v>2026-05-26</x:v>
      </x:c>
      <x:c r="J174" s="19" t="str">
        <x:v>https://www.p5w.net/roll/pcj/202605/t20260526_6474554.htm</x:v>
      </x:c>
      <x:c r="K174" s="19" t="str">
        <x:v>https://www.p5w.net/roll/pcj/202605/t20260526_6474554.htm</x:v>
      </x:c>
      <x:c r="L174" s="19"/>
      <x:c r="M174" s="19"/>
      <x:c r="N174" s="19"/>
      <x:c r="O174" s="19" t="str">
        <x:v>candidate-only</x:v>
      </x:c>
      <x:c r="P174" s="33" t="b">
        <x:v>0</x:v>
      </x:c>
      <x:c r="Q174" s="19" t="n">
        <x:v>1</x:v>
      </x:c>
      <x:c r="R174" s="19" t="str">
        <x:v>conditional-local-file-unavailable</x:v>
      </x:c>
    </x:row>
    <x:row r="175" ht="15" hidden="0" customHeight="1">
      <x:c r="A175" s="19" t="str">
        <x:v>R01–R04审计</x:v>
      </x:c>
      <x:c r="B175" s="19" t="str">
        <x:v>media-candidate-cambricon-21c4883f9c91</x:v>
      </x:c>
      <x:c r="C175" s="19" t="str">
        <x:v>寒武纪</x:v>
      </x:c>
      <x:c r="D175" s="19" t="str">
        <x:v>权威媒体候选</x:v>
      </x:c>
      <x:c r="E175" s="19" t="str">
        <x:v>A股板块分化明显，资金抱团硬科技，机构：警惕追高风险</x:v>
      </x:c>
      <x:c r="F175" s="19"/>
      <x:c r="G175" s="19"/>
      <x:c r="H175" s="19"/>
      <x:c r="I175" s="19" t="str">
        <x:v>2026-05-26</x:v>
      </x:c>
      <x:c r="J175" s="19" t="str">
        <x:v>https://www.p5w.net/roll/stock/202605/t20260526_6474267.htm</x:v>
      </x:c>
      <x:c r="K175" s="19" t="str">
        <x:v>https://www.p5w.net/roll/stock/202605/t20260526_6474267.htm</x:v>
      </x:c>
      <x:c r="L175" s="19"/>
      <x:c r="M175" s="19"/>
      <x:c r="N175" s="19"/>
      <x:c r="O175" s="19" t="str">
        <x:v>candidate-only</x:v>
      </x:c>
      <x:c r="P175" s="33" t="b">
        <x:v>0</x:v>
      </x:c>
      <x:c r="Q175" s="19" t="n">
        <x:v>1</x:v>
      </x:c>
      <x:c r="R175" s="19" t="str">
        <x:v>conditional-local-file-unavailable</x:v>
      </x:c>
    </x:row>
    <x:row r="176" ht="15" hidden="0" customHeight="1">
      <x:c r="A176" s="19" t="str">
        <x:v>R01–R04审计</x:v>
      </x:c>
      <x:c r="B176" s="19" t="str">
        <x:v>media-candidate-cambricon-dcefb809e77f</x:v>
      </x:c>
      <x:c r="C176" s="19" t="str">
        <x:v>寒武纪</x:v>
      </x:c>
      <x:c r="D176" s="19" t="str">
        <x:v>权威媒体候选</x:v>
      </x:c>
      <x:c r="E176" s="19" t="str">
        <x:v>重磅消息！A股，“大资金”来了</x:v>
      </x:c>
      <x:c r="F176" s="19"/>
      <x:c r="G176" s="19"/>
      <x:c r="H176" s="19"/>
      <x:c r="I176" s="19" t="str">
        <x:v>2026-05-25</x:v>
      </x:c>
      <x:c r="J176" s="19" t="str">
        <x:v>https://www.p5w.net/roll/zqzx/202605/t20260525_6474178.htm</x:v>
      </x:c>
      <x:c r="K176" s="19" t="str">
        <x:v>https://www.p5w.net/roll/zqzx/202605/t20260525_6474178.htm</x:v>
      </x:c>
      <x:c r="L176" s="19"/>
      <x:c r="M176" s="19"/>
      <x:c r="N176" s="19"/>
      <x:c r="O176" s="19" t="str">
        <x:v>candidate-only</x:v>
      </x:c>
      <x:c r="P176" s="33" t="b">
        <x:v>0</x:v>
      </x:c>
      <x:c r="Q176" s="19" t="n">
        <x:v>1</x:v>
      </x:c>
      <x:c r="R176" s="19" t="str">
        <x:v>conditional-local-file-unavailable</x:v>
      </x:c>
    </x:row>
    <x:row r="177" ht="15" hidden="0" customHeight="1">
      <x:c r="A177" s="19" t="str">
        <x:v>R01–R04审计</x:v>
      </x:c>
      <x:c r="B177" s="19" t="str">
        <x:v>media-candidate-cambricon-37df3949b173</x:v>
      </x:c>
      <x:c r="C177" s="19" t="str">
        <x:v>寒武纪</x:v>
      </x:c>
      <x:c r="D177" s="19" t="str">
        <x:v>权威媒体候选</x:v>
      </x:c>
      <x:c r="E177" s="19" t="str">
        <x:v>长鑫科技将于本周5月27日上会，科创创业50ETF鹏扬（588350）涨3.17%</x:v>
      </x:c>
      <x:c r="F177" s="19"/>
      <x:c r="G177" s="19"/>
      <x:c r="H177" s="19"/>
      <x:c r="I177" s="19" t="str">
        <x:v>2026-05-25</x:v>
      </x:c>
      <x:c r="J177" s="19" t="str">
        <x:v>https://www.p5w.net/roll/zqzx/202605/t20260525_6474118.htm</x:v>
      </x:c>
      <x:c r="K177" s="19" t="str">
        <x:v>https://www.p5w.net/roll/zqzx/202605/t20260525_6474118.htm</x:v>
      </x:c>
      <x:c r="L177" s="19"/>
      <x:c r="M177" s="19"/>
      <x:c r="N177" s="19"/>
      <x:c r="O177" s="19" t="str">
        <x:v>candidate-only</x:v>
      </x:c>
      <x:c r="P177" s="33" t="b">
        <x:v>0</x:v>
      </x:c>
      <x:c r="Q177" s="19" t="n">
        <x:v>1</x:v>
      </x:c>
      <x:c r="R177" s="19" t="str">
        <x:v>conditional-local-file-unavailable</x:v>
      </x:c>
    </x:row>
    <x:row r="178" ht="15" hidden="0" customHeight="1">
      <x:c r="A178" s="19" t="str">
        <x:v>R01–R04审计</x:v>
      </x:c>
      <x:c r="B178" s="19" t="str">
        <x:v>media-candidate-cambricon-f72ca6d835d9</x:v>
      </x:c>
      <x:c r="C178" s="19" t="str">
        <x:v>寒武纪</x:v>
      </x:c>
      <x:c r="D178" s="19" t="str">
        <x:v>权威媒体候选</x:v>
      </x:c>
      <x:c r="E178" s="19" t="str">
        <x:v>易方达芯片ETF：半导体板块强势拉升，资金借道布局产业核心</x:v>
      </x:c>
      <x:c r="F178" s="19"/>
      <x:c r="G178" s="19"/>
      <x:c r="H178" s="19"/>
      <x:c r="I178" s="19" t="str">
        <x:v>2026-05-25</x:v>
      </x:c>
      <x:c r="J178" s="19" t="str">
        <x:v>https://www.p5w.net/roll/pcj/202605/t20260525_6474108.htm</x:v>
      </x:c>
      <x:c r="K178" s="19" t="str">
        <x:v>https://www.p5w.net/roll/pcj/202605/t20260525_6474108.htm</x:v>
      </x:c>
      <x:c r="L178" s="19"/>
      <x:c r="M178" s="19"/>
      <x:c r="N178" s="19"/>
      <x:c r="O178" s="19" t="str">
        <x:v>candidate-only</x:v>
      </x:c>
      <x:c r="P178" s="33" t="b">
        <x:v>0</x:v>
      </x:c>
      <x:c r="Q178" s="19" t="n">
        <x:v>1</x:v>
      </x:c>
      <x:c r="R178" s="19" t="str">
        <x:v>conditional-local-file-unavailable</x:v>
      </x:c>
    </x:row>
    <x:row r="179" ht="15" hidden="0" customHeight="1">
      <x:c r="A179" s="19" t="str">
        <x:v>R01–R04审计</x:v>
      </x:c>
      <x:c r="B179" s="19" t="str">
        <x:v>media-candidate-cambricon-87322663d737</x:v>
      </x:c>
      <x:c r="C179" s="19" t="str">
        <x:v>寒武纪</x:v>
      </x:c>
      <x:c r="D179" s="19" t="str">
        <x:v>权威媒体候选</x:v>
      </x:c>
      <x:c r="E179" s="19" t="str">
        <x:v>半导体板块午后爆发，芯片ETF华夏（159995）涨6.39%</x:v>
      </x:c>
      <x:c r="F179" s="19"/>
      <x:c r="G179" s="19"/>
      <x:c r="H179" s="19"/>
      <x:c r="I179" s="19" t="str">
        <x:v>2026-05-25</x:v>
      </x:c>
      <x:c r="J179" s="19" t="str">
        <x:v>https://www.p5w.net/roll/zqzx/202605/t20260525_6474099.htm</x:v>
      </x:c>
      <x:c r="K179" s="19" t="str">
        <x:v>https://www.p5w.net/roll/zqzx/202605/t20260525_6474099.htm</x:v>
      </x:c>
      <x:c r="L179" s="19"/>
      <x:c r="M179" s="19"/>
      <x:c r="N179" s="19"/>
      <x:c r="O179" s="19" t="str">
        <x:v>candidate-only</x:v>
      </x:c>
      <x:c r="P179" s="33" t="b">
        <x:v>0</x:v>
      </x:c>
      <x:c r="Q179" s="19" t="n">
        <x:v>1</x:v>
      </x:c>
      <x:c r="R179" s="19" t="str">
        <x:v>conditional-local-file-unavailable</x:v>
      </x:c>
    </x:row>
    <x:row r="180" ht="21.600000381469727" hidden="0" customHeight="1">
      <x:c r="A180" s="19" t="str">
        <x:v>R01–R04审计</x:v>
      </x:c>
      <x:c r="B180" s="19" t="str">
        <x:v>media-candidate-cambricon-7d997ba48287</x:v>
      </x:c>
      <x:c r="C180" s="19" t="str">
        <x:v>寒武纪</x:v>
      </x:c>
      <x:c r="D180" s="19" t="str">
        <x:v>权威媒体候选</x:v>
      </x:c>
      <x:c r="E180" s="19" t="str">
        <x:v>中芯国际盘中涨8.40%！芯片股反复走强，科创半导体ETF华夏（588170）上涨2.61%，半导体设备ETF华夏（562590）上涨2.22%</x:v>
      </x:c>
      <x:c r="F180" s="19"/>
      <x:c r="G180" s="19"/>
      <x:c r="H180" s="19"/>
      <x:c r="I180" s="19" t="str">
        <x:v>2026-05-25</x:v>
      </x:c>
      <x:c r="J180" s="19" t="str">
        <x:v>https://www.p5w.net/roll/zqzx/202605/t20260525_6474064.htm</x:v>
      </x:c>
      <x:c r="K180" s="19" t="str">
        <x:v>https://www.p5w.net/roll/zqzx/202605/t20260525_6474064.htm</x:v>
      </x:c>
      <x:c r="L180" s="19"/>
      <x:c r="M180" s="19"/>
      <x:c r="N180" s="19"/>
      <x:c r="O180" s="19" t="str">
        <x:v>candidate-only</x:v>
      </x:c>
      <x:c r="P180" s="33" t="b">
        <x:v>0</x:v>
      </x:c>
      <x:c r="Q180" s="19" t="n">
        <x:v>1</x:v>
      </x:c>
      <x:c r="R180" s="19" t="str">
        <x:v>conditional-local-file-unavailable</x:v>
      </x:c>
    </x:row>
    <x:row r="181" ht="15" hidden="0" customHeight="1">
      <x:c r="A181" s="19" t="str">
        <x:v>R01–R04审计</x:v>
      </x:c>
      <x:c r="B181" s="19" t="str">
        <x:v>media-candidate-cambricon-e8c79707ecba</x:v>
      </x:c>
      <x:c r="C181" s="19" t="str">
        <x:v>寒武纪</x:v>
      </x:c>
      <x:c r="D181" s="19" t="str">
        <x:v>权威媒体候选</x:v>
      </x:c>
      <x:c r="E181" s="19" t="str">
        <x:v>易方达科创板50ETF：指数高开领涨，资金借道布局硬科技核心资产</x:v>
      </x:c>
      <x:c r="F181" s="19"/>
      <x:c r="G181" s="19"/>
      <x:c r="H181" s="19"/>
      <x:c r="I181" s="19" t="str">
        <x:v>2026-05-25</x:v>
      </x:c>
      <x:c r="J181" s="19" t="str">
        <x:v>https://www.p5w.net/roll/pcj/202605/t20260525_6474014.htm</x:v>
      </x:c>
      <x:c r="K181" s="19" t="str">
        <x:v>https://www.p5w.net/roll/pcj/202605/t20260525_6474014.htm</x:v>
      </x:c>
      <x:c r="L181" s="19"/>
      <x:c r="M181" s="19"/>
      <x:c r="N181" s="19"/>
      <x:c r="O181" s="19" t="str">
        <x:v>candidate-only</x:v>
      </x:c>
      <x:c r="P181" s="33" t="b">
        <x:v>0</x:v>
      </x:c>
      <x:c r="Q181" s="19" t="n">
        <x:v>1</x:v>
      </x:c>
      <x:c r="R181" s="19" t="str">
        <x:v>conditional-local-file-unavailable</x:v>
      </x:c>
    </x:row>
    <x:row r="182" ht="15" hidden="0" customHeight="1">
      <x:c r="A182" s="19" t="str">
        <x:v>R01–R04审计</x:v>
      </x:c>
      <x:c r="B182" s="19" t="str">
        <x:v>media-candidate-cambricon-3bf8629bb4e3</x:v>
      </x:c>
      <x:c r="C182" s="19" t="str">
        <x:v>寒武纪</x:v>
      </x:c>
      <x:c r="D182" s="19" t="str">
        <x:v>权威媒体候选</x:v>
      </x:c>
      <x:c r="E182" s="19" t="str">
        <x:v>“中国英伟达”，总市值突破8000亿！高燃！</x:v>
      </x:c>
      <x:c r="F182" s="19"/>
      <x:c r="G182" s="19"/>
      <x:c r="H182" s="19"/>
      <x:c r="I182" s="19" t="str">
        <x:v>2026-05-21</x:v>
      </x:c>
      <x:c r="J182" s="19" t="str">
        <x:v>https://www.p5w.net/roll/pcj/202605/t20260521_6473583.htm</x:v>
      </x:c>
      <x:c r="K182" s="19" t="str">
        <x:v>https://www.p5w.net/roll/pcj/202605/t20260521_6473583.htm</x:v>
      </x:c>
      <x:c r="L182" s="19"/>
      <x:c r="M182" s="19"/>
      <x:c r="N182" s="19"/>
      <x:c r="O182" s="19" t="str">
        <x:v>candidate-only</x:v>
      </x:c>
      <x:c r="P182" s="33" t="b">
        <x:v>0</x:v>
      </x:c>
      <x:c r="Q182" s="19" t="n">
        <x:v>1</x:v>
      </x:c>
      <x:c r="R182" s="19" t="str">
        <x:v>conditional-local-file-unavailable</x:v>
      </x:c>
    </x:row>
    <x:row r="183" ht="15" hidden="0" customHeight="1">
      <x:c r="A183" s="19" t="str">
        <x:v>R01–R04审计</x:v>
      </x:c>
      <x:c r="B183" s="19" t="str">
        <x:v>media-candidate-cambricon-8338f6c6af42</x:v>
      </x:c>
      <x:c r="C183" s="19" t="str">
        <x:v>寒武纪</x:v>
      </x:c>
      <x:c r="D183" s="19" t="str">
        <x:v>权威媒体候选</x:v>
      </x:c>
      <x:c r="E183" s="19" t="str">
        <x:v>AI收入首次过半、净利却腰斩，百度进入新旧转型阵痛期</x:v>
      </x:c>
      <x:c r="F183" s="19"/>
      <x:c r="G183" s="19"/>
      <x:c r="H183" s="19"/>
      <x:c r="I183" s="19" t="str">
        <x:v>2026-05-21</x:v>
      </x:c>
      <x:c r="J183" s="19" t="str">
        <x:v>https://www.p5w.net/roll/zqzx/202605/t20260521_6473395.htm</x:v>
      </x:c>
      <x:c r="K183" s="19" t="str">
        <x:v>https://www.p5w.net/roll/zqzx/202605/t20260521_6473395.htm</x:v>
      </x:c>
      <x:c r="L183" s="19"/>
      <x:c r="M183" s="19"/>
      <x:c r="N183" s="19"/>
      <x:c r="O183" s="19" t="str">
        <x:v>candidate-only</x:v>
      </x:c>
      <x:c r="P183" s="33" t="b">
        <x:v>0</x:v>
      </x:c>
      <x:c r="Q183" s="19" t="n">
        <x:v>1</x:v>
      </x:c>
      <x:c r="R183" s="19" t="str">
        <x:v>conditional-local-file-unavailable</x:v>
      </x:c>
    </x:row>
    <x:row r="184" ht="15" hidden="0" customHeight="1">
      <x:c r="A184" s="19" t="str">
        <x:v>R01–R04审计</x:v>
      </x:c>
      <x:c r="B184" s="19" t="str">
        <x:v>media-candidate-cambricon-a4e18da976b8</x:v>
      </x:c>
      <x:c r="C184" s="19" t="str">
        <x:v>寒武纪</x:v>
      </x:c>
      <x:c r="D184" s="19" t="str">
        <x:v>权威媒体候选</x:v>
      </x:c>
      <x:c r="E184" s="19" t="str">
        <x:v>易方达科创板50ETF：指数再创新高，资金借道布局硬科技核心资产</x:v>
      </x:c>
      <x:c r="F184" s="19"/>
      <x:c r="G184" s="19"/>
      <x:c r="H184" s="19"/>
      <x:c r="I184" s="19" t="str">
        <x:v>2026-05-21</x:v>
      </x:c>
      <x:c r="J184" s="19" t="str">
        <x:v>https://www.p5w.net/roll/pcj/202605/t20260521_6473384.htm</x:v>
      </x:c>
      <x:c r="K184" s="19" t="str">
        <x:v>https://www.p5w.net/roll/pcj/202605/t20260521_6473384.htm</x:v>
      </x:c>
      <x:c r="L184" s="19"/>
      <x:c r="M184" s="19"/>
      <x:c r="N184" s="19"/>
      <x:c r="O184" s="19" t="str">
        <x:v>candidate-only</x:v>
      </x:c>
      <x:c r="P184" s="33" t="b">
        <x:v>0</x:v>
      </x:c>
      <x:c r="Q184" s="19" t="n">
        <x:v>1</x:v>
      </x:c>
      <x:c r="R184" s="19" t="str">
        <x:v>conditional-local-file-unavailable</x:v>
      </x:c>
    </x:row>
    <x:row r="185" ht="21.600000381469727" hidden="0" customHeight="1">
      <x:c r="A185" s="19" t="str">
        <x:v>R01–R04审计</x:v>
      </x:c>
      <x:c r="B185" s="19" t="str">
        <x:v>media-candidate-cambricon-469335b87d95</x:v>
      </x:c>
      <x:c r="C185" s="19" t="str">
        <x:v>寒武纪</x:v>
      </x:c>
      <x:c r="D185" s="19" t="str">
        <x:v>权威媒体候选</x:v>
      </x:c>
      <x:c r="E185" s="19" t="str">
        <x:v>AI与机器人盘前速递丨英伟达亚马逊推进新一代存储架构研发，吉林出台政策助力具身智能产业发展</x:v>
      </x:c>
      <x:c r="F185" s="19"/>
      <x:c r="G185" s="19"/>
      <x:c r="H185" s="19"/>
      <x:c r="I185" s="19" t="str">
        <x:v>2026-05-21</x:v>
      </x:c>
      <x:c r="J185" s="19" t="str">
        <x:v>https://www.p5w.net/roll/zqzx/202605/t20260521_6473355.htm</x:v>
      </x:c>
      <x:c r="K185" s="19" t="str">
        <x:v>https://www.p5w.net/roll/zqzx/202605/t20260521_6473355.htm</x:v>
      </x:c>
      <x:c r="L185" s="19"/>
      <x:c r="M185" s="19"/>
      <x:c r="N185" s="19"/>
      <x:c r="O185" s="19" t="str">
        <x:v>candidate-only</x:v>
      </x:c>
      <x:c r="P185" s="33" t="b">
        <x:v>0</x:v>
      </x:c>
      <x:c r="Q185" s="19" t="n">
        <x:v>1</x:v>
      </x:c>
      <x:c r="R185" s="19" t="str">
        <x:v>conditional-local-file-unavailable</x:v>
      </x:c>
    </x:row>
    <x:row r="186" ht="15" hidden="0" customHeight="1">
      <x:c r="A186" s="19" t="str">
        <x:v>R01–R04审计</x:v>
      </x:c>
      <x:c r="B186" s="19" t="str">
        <x:v>media-candidate-cambricon-9f5e9f50f181</x:v>
      </x:c>
      <x:c r="C186" s="19" t="str">
        <x:v>寒武纪</x:v>
      </x:c>
      <x:c r="D186" s="19" t="str">
        <x:v>权威媒体候选</x:v>
      </x:c>
      <x:c r="E186" s="19" t="str">
        <x:v>半导体龙头股价频创新高 重仓基金吸睛又吸金</x:v>
      </x:c>
      <x:c r="F186" s="19"/>
      <x:c r="G186" s="19"/>
      <x:c r="H186" s="19"/>
      <x:c r="I186" s="19" t="str">
        <x:v>2026-05-21</x:v>
      </x:c>
      <x:c r="J186" s="19" t="str">
        <x:v>https://www.p5w.net/roll/fund/202605/t20260521_6473347.htm</x:v>
      </x:c>
      <x:c r="K186" s="19" t="str">
        <x:v>https://www.p5w.net/roll/fund/202605/t20260521_6473347.htm</x:v>
      </x:c>
      <x:c r="L186" s="19"/>
      <x:c r="M186" s="19"/>
      <x:c r="N186" s="19"/>
      <x:c r="O186" s="19" t="str">
        <x:v>candidate-only</x:v>
      </x:c>
      <x:c r="P186" s="33" t="b">
        <x:v>0</x:v>
      </x:c>
      <x:c r="Q186" s="19" t="n">
        <x:v>1</x:v>
      </x:c>
      <x:c r="R186" s="19" t="str">
        <x:v>conditional-local-file-unavailable</x:v>
      </x:c>
    </x:row>
    <x:row r="187" ht="15" hidden="0" customHeight="1">
      <x:c r="A187" s="19" t="str">
        <x:v>R01–R04审计</x:v>
      </x:c>
      <x:c r="B187" s="19" t="str">
        <x:v>media-candidate-cambricon-7b09d4b5d194</x:v>
      </x:c>
      <x:c r="C187" s="19" t="str">
        <x:v>寒武纪</x:v>
      </x:c>
      <x:c r="D187" s="19" t="str">
        <x:v>权威媒体候选</x:v>
      </x:c>
      <x:c r="E187" s="19" t="str">
        <x:v>突发！美联储，大消息</x:v>
      </x:c>
      <x:c r="F187" s="19"/>
      <x:c r="G187" s="19"/>
      <x:c r="H187" s="19"/>
      <x:c r="I187" s="19" t="str">
        <x:v>2026-05-20</x:v>
      </x:c>
      <x:c r="J187" s="19" t="str">
        <x:v>https://www.p5w.net/roll/zqzx/202605/t20260520_6473125.htm</x:v>
      </x:c>
      <x:c r="K187" s="19" t="str">
        <x:v>https://www.p5w.net/roll/zqzx/202605/t20260520_6473125.htm</x:v>
      </x:c>
      <x:c r="L187" s="19"/>
      <x:c r="M187" s="19"/>
      <x:c r="N187" s="19"/>
      <x:c r="O187" s="19" t="str">
        <x:v>candidate-only</x:v>
      </x:c>
      <x:c r="P187" s="33" t="b">
        <x:v>0</x:v>
      </x:c>
      <x:c r="Q187" s="19" t="n">
        <x:v>1</x:v>
      </x:c>
      <x:c r="R187" s="19" t="str">
        <x:v>conditional-local-file-unavailable</x:v>
      </x:c>
    </x:row>
    <x:row r="188" ht="15" hidden="0" customHeight="1">
      <x:c r="A188" s="19" t="str">
        <x:v>R01–R04审计</x:v>
      </x:c>
      <x:c r="B188" s="19" t="str">
        <x:v>media-candidate-cambricon-a50b4131009a</x:v>
      </x:c>
      <x:c r="C188" s="19" t="str">
        <x:v>寒武纪</x:v>
      </x:c>
      <x:c r="D188" s="19" t="str">
        <x:v>权威媒体候选</x:v>
      </x:c>
      <x:c r="E188" s="19" t="str">
        <x:v>大基金三期加码国产替代，芯片产业迎政策与景气共振</x:v>
      </x:c>
      <x:c r="F188" s="19"/>
      <x:c r="G188" s="19"/>
      <x:c r="H188" s="19"/>
      <x:c r="I188" s="19" t="str">
        <x:v>2026-05-20</x:v>
      </x:c>
      <x:c r="J188" s="19" t="str">
        <x:v>https://www.p5w.net/roll/zqzx/202605/t20260520_6473159.htm</x:v>
      </x:c>
      <x:c r="K188" s="19" t="str">
        <x:v>https://www.p5w.net/roll/zqzx/202605/t20260520_6473159.htm</x:v>
      </x:c>
      <x:c r="L188" s="19"/>
      <x:c r="M188" s="19"/>
      <x:c r="N188" s="19"/>
      <x:c r="O188" s="19" t="str">
        <x:v>candidate-only</x:v>
      </x:c>
      <x:c r="P188" s="33" t="b">
        <x:v>0</x:v>
      </x:c>
      <x:c r="Q188" s="19" t="n">
        <x:v>1</x:v>
      </x:c>
      <x:c r="R188" s="19" t="str">
        <x:v>conditional-local-file-unavailable</x:v>
      </x:c>
    </x:row>
    <x:row r="189" ht="21.600000381469727" hidden="0" customHeight="1">
      <x:c r="A189" s="19" t="str">
        <x:v>R01–R04审计</x:v>
      </x:c>
      <x:c r="B189" s="19" t="str">
        <x:v>media-candidate-cambricon-6175dc997ee6</x:v>
      </x:c>
      <x:c r="C189" s="19" t="str">
        <x:v>寒武纪</x:v>
      </x:c>
      <x:c r="D189" s="19" t="str">
        <x:v>权威媒体候选</x:v>
      </x:c>
      <x:c r="E189" s="19" t="str">
        <x:v>多家大厂计划上调售价！芯片ETF华夏（159995.SZ）上涨2.72%，兆易创新上涨8.74%</x:v>
      </x:c>
      <x:c r="F189" s="19"/>
      <x:c r="G189" s="19"/>
      <x:c r="H189" s="19"/>
      <x:c r="I189" s="19" t="str">
        <x:v>2026-05-20</x:v>
      </x:c>
      <x:c r="J189" s="19" t="str">
        <x:v>https://www.p5w.net/roll/zqzx/202605/t20260520_6472983.htm</x:v>
      </x:c>
      <x:c r="K189" s="19" t="str">
        <x:v>https://www.p5w.net/roll/zqzx/202605/t20260520_6472983.htm</x:v>
      </x:c>
      <x:c r="L189" s="19"/>
      <x:c r="M189" s="19"/>
      <x:c r="N189" s="19"/>
      <x:c r="O189" s="19" t="str">
        <x:v>candidate-only</x:v>
      </x:c>
      <x:c r="P189" s="33" t="b">
        <x:v>0</x:v>
      </x:c>
      <x:c r="Q189" s="19" t="n">
        <x:v>1</x:v>
      </x:c>
      <x:c r="R189" s="19" t="str">
        <x:v>conditional-local-file-unavailable</x:v>
      </x:c>
    </x:row>
    <x:row r="190" ht="15" hidden="0" customHeight="1">
      <x:c r="A190" s="19" t="str">
        <x:v>R01–R04审计</x:v>
      </x:c>
      <x:c r="B190" s="19" t="str">
        <x:v>media-candidate-cambricon-efbe35bf5278</x:v>
      </x:c>
      <x:c r="C190" s="19" t="str">
        <x:v>寒武纪</x:v>
      </x:c>
      <x:c r="D190" s="19" t="str">
        <x:v>权威媒体候选</x:v>
      </x:c>
      <x:c r="E190" s="19" t="str">
        <x:v>民营经济促进法落地一周年 资本市场护航民企创新成长</x:v>
      </x:c>
      <x:c r="F190" s="19"/>
      <x:c r="G190" s="19"/>
      <x:c r="H190" s="19"/>
      <x:c r="I190" s="19" t="str">
        <x:v>2026-05-20</x:v>
      </x:c>
      <x:c r="J190" s="19" t="str">
        <x:v>https://www.p5w.net/roll/cj/202605/t20260520_6472917.htm</x:v>
      </x:c>
      <x:c r="K190" s="19" t="str">
        <x:v>https://www.p5w.net/roll/cj/202605/t20260520_6472917.htm</x:v>
      </x:c>
      <x:c r="L190" s="19"/>
      <x:c r="M190" s="19"/>
      <x:c r="N190" s="19"/>
      <x:c r="O190" s="19" t="str">
        <x:v>candidate-only</x:v>
      </x:c>
      <x:c r="P190" s="33" t="b">
        <x:v>0</x:v>
      </x:c>
      <x:c r="Q190" s="19" t="n">
        <x:v>1</x:v>
      </x:c>
      <x:c r="R190" s="19" t="str">
        <x:v>conditional-local-file-unavailable</x:v>
      </x:c>
    </x:row>
    <x:row r="191" ht="21.600000381469727" hidden="0" customHeight="1">
      <x:c r="A191" s="19" t="str">
        <x:v>R01–R04审计</x:v>
      </x:c>
      <x:c r="B191" s="19" t="str">
        <x:v>media-candidate-cambricon-fa8facca95c3</x:v>
      </x:c>
      <x:c r="C191" s="19" t="str">
        <x:v>寒武纪</x:v>
      </x:c>
      <x:c r="D191" s="19" t="str">
        <x:v>权威媒体候选</x:v>
      </x:c>
      <x:c r="E191" s="19" t="str">
        <x:v>全球半导体封装市场规模将达6189亿美元，芯片ETF（159995）震荡调整，成分股沪硅产业涨超5%</x:v>
      </x:c>
      <x:c r="F191" s="19"/>
      <x:c r="G191" s="19"/>
      <x:c r="H191" s="19"/>
      <x:c r="I191" s="19" t="str">
        <x:v>2026-05-19</x:v>
      </x:c>
      <x:c r="J191" s="19" t="str">
        <x:v>https://www.p5w.net/roll/zqzx/202605/t20260519_6472680.htm</x:v>
      </x:c>
      <x:c r="K191" s="19" t="str">
        <x:v>https://www.p5w.net/roll/zqzx/202605/t20260519_6472680.htm</x:v>
      </x:c>
      <x:c r="L191" s="19"/>
      <x:c r="M191" s="19"/>
      <x:c r="N191" s="19"/>
      <x:c r="O191" s="19" t="str">
        <x:v>candidate-only</x:v>
      </x:c>
      <x:c r="P191" s="33" t="b">
        <x:v>0</x:v>
      </x:c>
      <x:c r="Q191" s="19" t="n">
        <x:v>1</x:v>
      </x:c>
      <x:c r="R191" s="19" t="str">
        <x:v>conditional-local-file-unavailable</x:v>
      </x:c>
    </x:row>
    <x:row r="192" ht="15" hidden="0" customHeight="1">
      <x:c r="A192" s="19" t="str">
        <x:v>R01–R04审计</x:v>
      </x:c>
      <x:c r="B192" s="19" t="str">
        <x:v>media-candidate-cambricon-f0399c9cc86e</x:v>
      </x:c>
      <x:c r="C192" s="19" t="str">
        <x:v>寒武纪</x:v>
      </x:c>
      <x:c r="D192" s="19" t="str">
        <x:v>权威媒体候选</x:v>
      </x:c>
      <x:c r="E192" s="19" t="str">
        <x:v>ETF规模一天翻倍，这个赛道为何突然被“抢筹”？</x:v>
      </x:c>
      <x:c r="F192" s="19"/>
      <x:c r="G192" s="19"/>
      <x:c r="H192" s="19"/>
      <x:c r="I192" s="19" t="str">
        <x:v>2026-05-19</x:v>
      </x:c>
      <x:c r="J192" s="19" t="str">
        <x:v>https://www.p5w.net/roll/zqzx/202605/t20260519_6472663.htm</x:v>
      </x:c>
      <x:c r="K192" s="19" t="str">
        <x:v>https://www.p5w.net/roll/zqzx/202605/t20260519_6472663.htm</x:v>
      </x:c>
      <x:c r="L192" s="19"/>
      <x:c r="M192" s="19"/>
      <x:c r="N192" s="19"/>
      <x:c r="O192" s="19" t="str">
        <x:v>candidate-only</x:v>
      </x:c>
      <x:c r="P192" s="33" t="b">
        <x:v>0</x:v>
      </x:c>
      <x:c r="Q192" s="19" t="n">
        <x:v>1</x:v>
      </x:c>
      <x:c r="R192" s="19" t="str">
        <x:v>conditional-local-file-unavailable</x:v>
      </x:c>
    </x:row>
    <x:row r="193" ht="15" hidden="0" customHeight="1">
      <x:c r="A193" s="19" t="str">
        <x:v>R01–R04审计</x:v>
      </x:c>
      <x:c r="B193" s="19" t="str">
        <x:v>media-candidate-cambricon-0657804ae85f</x:v>
      </x:c>
      <x:c r="C193" s="19" t="str">
        <x:v>寒武纪</x:v>
      </x:c>
      <x:c r="D193" s="19" t="str">
        <x:v>权威媒体候选</x:v>
      </x:c>
      <x:c r="E193" s="19" t="str">
        <x:v>AI驱动半导体设备需求进入上行周期，数字经济ETF鹏扬（560800）涨1.43%</x:v>
      </x:c>
      <x:c r="F193" s="19"/>
      <x:c r="G193" s="19"/>
      <x:c r="H193" s="19"/>
      <x:c r="I193" s="19" t="str">
        <x:v>2026-05-18</x:v>
      </x:c>
      <x:c r="J193" s="19" t="str">
        <x:v>https://www.p5w.net/roll/zqzx/202605/t20260518_6472441.htm</x:v>
      </x:c>
      <x:c r="K193" s="19" t="str">
        <x:v>https://www.p5w.net/roll/zqzx/202605/t20260518_6472441.htm</x:v>
      </x:c>
      <x:c r="L193" s="19"/>
      <x:c r="M193" s="19"/>
      <x:c r="N193" s="19"/>
      <x:c r="O193" s="19" t="str">
        <x:v>candidate-only</x:v>
      </x:c>
      <x:c r="P193" s="33" t="b">
        <x:v>0</x:v>
      </x:c>
      <x:c r="Q193" s="19" t="n">
        <x:v>1</x:v>
      </x:c>
      <x:c r="R193" s="19" t="str">
        <x:v>conditional-local-file-unavailable</x:v>
      </x:c>
    </x:row>
    <x:row r="194" ht="15" hidden="0" customHeight="1">
      <x:c r="A194" s="19" t="str">
        <x:v>R01–R04审计</x:v>
      </x:c>
      <x:c r="B194" s="19" t="str">
        <x:v>media-candidate-cambricon-ea5196d94201</x:v>
      </x:c>
      <x:c r="C194" s="19" t="str">
        <x:v>寒武纪</x:v>
      </x:c>
      <x:c r="D194" s="19" t="str">
        <x:v>权威媒体候选</x:v>
      </x:c>
      <x:c r="E194" s="19" t="str">
        <x:v>半导体杀疯了 这只人工智能指数居然有50%的半导体！</x:v>
      </x:c>
      <x:c r="F194" s="19"/>
      <x:c r="G194" s="19"/>
      <x:c r="H194" s="19"/>
      <x:c r="I194" s="19" t="str">
        <x:v>2026-05-18</x:v>
      </x:c>
      <x:c r="J194" s="19" t="str">
        <x:v>https://www.p5w.net/roll/zqzx/202605/t20260518_6472377.htm</x:v>
      </x:c>
      <x:c r="K194" s="19" t="str">
        <x:v>https://www.p5w.net/roll/zqzx/202605/t20260518_6472377.htm</x:v>
      </x:c>
      <x:c r="L194" s="19"/>
      <x:c r="M194" s="19"/>
      <x:c r="N194" s="19"/>
      <x:c r="O194" s="19" t="str">
        <x:v>candidate-only</x:v>
      </x:c>
      <x:c r="P194" s="33" t="b">
        <x:v>0</x:v>
      </x:c>
      <x:c r="Q194" s="19" t="n">
        <x:v>1</x:v>
      </x:c>
      <x:c r="R194" s="19" t="str">
        <x:v>conditional-local-file-unavailable</x:v>
      </x:c>
    </x:row>
    <x:row r="195" ht="15" hidden="0" customHeight="1">
      <x:c r="A195" s="19" t="str">
        <x:v>R01–R04审计</x:v>
      </x:c>
      <x:c r="B195" s="19" t="str">
        <x:v>media-candidate-cambricon-dc0bce0c6bc2</x:v>
      </x:c>
      <x:c r="C195" s="19" t="str">
        <x:v>寒武纪</x:v>
      </x:c>
      <x:c r="D195" s="19" t="str">
        <x:v>权威媒体候选</x:v>
      </x:c>
      <x:c r="E195" s="19" t="str">
        <x:v>存储芯片缺口持续，芯片ETF华夏（159995）涨2.20%</x:v>
      </x:c>
      <x:c r="F195" s="19"/>
      <x:c r="G195" s="19"/>
      <x:c r="H195" s="19"/>
      <x:c r="I195" s="19" t="str">
        <x:v>2026-05-18</x:v>
      </x:c>
      <x:c r="J195" s="19" t="str">
        <x:v>https://www.p5w.net/roll/zqzx/202605/t20260518_6472358.htm</x:v>
      </x:c>
      <x:c r="K195" s="19" t="str">
        <x:v>https://www.p5w.net/roll/zqzx/202605/t20260518_6472358.htm</x:v>
      </x:c>
      <x:c r="L195" s="19"/>
      <x:c r="M195" s="19"/>
      <x:c r="N195" s="19"/>
      <x:c r="O195" s="19" t="str">
        <x:v>candidate-only</x:v>
      </x:c>
      <x:c r="P195" s="33" t="b">
        <x:v>0</x:v>
      </x:c>
      <x:c r="Q195" s="19" t="n">
        <x:v>1</x:v>
      </x:c>
      <x:c r="R195" s="19" t="str">
        <x:v>conditional-local-file-unavailable</x:v>
      </x:c>
    </x:row>
    <x:row r="196" ht="15" hidden="0" customHeight="1">
      <x:c r="A196" s="19" t="str">
        <x:v>R01–R04审计</x:v>
      </x:c>
      <x:c r="B196" s="19" t="str">
        <x:v>media-candidate-cambricon-021197c60f5f</x:v>
      </x:c>
      <x:c r="C196" s="19" t="str">
        <x:v>寒武纪</x:v>
      </x:c>
      <x:c r="D196" s="19" t="str">
        <x:v>权威媒体候选</x:v>
      </x:c>
      <x:c r="E196" s="19" t="str">
        <x:v>消费主题基金跨界投科技 是“风格漂移”还是“万物皆消费”？</x:v>
      </x:c>
      <x:c r="F196" s="19"/>
      <x:c r="G196" s="19"/>
      <x:c r="H196" s="19"/>
      <x:c r="I196" s="19" t="str">
        <x:v>2026-05-18</x:v>
      </x:c>
      <x:c r="J196" s="19" t="str">
        <x:v>https://www.p5w.net/roll/fund/202605/t20260518_6472322.htm</x:v>
      </x:c>
      <x:c r="K196" s="19" t="str">
        <x:v>https://www.p5w.net/roll/fund/202605/t20260518_6472322.htm</x:v>
      </x:c>
      <x:c r="L196" s="19"/>
      <x:c r="M196" s="19"/>
      <x:c r="N196" s="19"/>
      <x:c r="O196" s="19" t="str">
        <x:v>candidate-only</x:v>
      </x:c>
      <x:c r="P196" s="33" t="b">
        <x:v>0</x:v>
      </x:c>
      <x:c r="Q196" s="19" t="n">
        <x:v>1</x:v>
      </x:c>
      <x:c r="R196" s="19" t="str">
        <x:v>conditional-local-file-unavailable</x:v>
      </x:c>
    </x:row>
    <x:row r="197" ht="15" hidden="0" customHeight="1">
      <x:c r="A197" s="19" t="str">
        <x:v>R01–R04审计</x:v>
      </x:c>
      <x:c r="B197" s="19" t="str">
        <x:v>media-candidate-cambricon-8d6119fd7f62</x:v>
      </x:c>
      <x:c r="C197" s="19" t="str">
        <x:v>寒武纪</x:v>
      </x:c>
      <x:c r="D197" s="19" t="str">
        <x:v>权威媒体候选</x:v>
      </x:c>
      <x:c r="E197" s="19" t="str">
        <x:v>连续八年领跑！范式蝉联IDC中国机器学习平台市场份额第一</x:v>
      </x:c>
      <x:c r="F197" s="19"/>
      <x:c r="G197" s="19"/>
      <x:c r="H197" s="19"/>
      <x:c r="I197" s="19" t="str">
        <x:v>2026-05-14</x:v>
      </x:c>
      <x:c r="J197" s="19" t="str">
        <x:v>https://www.p5w.net/roll/finance/202605/t20260514_6471743.htm</x:v>
      </x:c>
      <x:c r="K197" s="19" t="str">
        <x:v>https://www.p5w.net/roll/finance/202605/t20260514_6471743.htm</x:v>
      </x:c>
      <x:c r="L197" s="19"/>
      <x:c r="M197" s="19"/>
      <x:c r="N197" s="19"/>
      <x:c r="O197" s="19" t="str">
        <x:v>candidate-only</x:v>
      </x:c>
      <x:c r="P197" s="33" t="b">
        <x:v>0</x:v>
      </x:c>
      <x:c r="Q197" s="19" t="n">
        <x:v>1</x:v>
      </x:c>
      <x:c r="R197" s="19" t="str">
        <x:v>conditional-local-file-unavailable</x:v>
      </x:c>
    </x:row>
    <x:row r="198" ht="15" hidden="0" customHeight="1">
      <x:c r="A198" s="19" t="str">
        <x:v>R01–R04审计</x:v>
      </x:c>
      <x:c r="B198" s="19" t="str">
        <x:v>media-candidate-cambricon-74d39124c7f1</x:v>
      </x:c>
      <x:c r="C198" s="19" t="str">
        <x:v>寒武纪</x:v>
      </x:c>
      <x:c r="D198" s="19" t="str">
        <x:v>权威媒体候选</x:v>
      </x:c>
      <x:c r="E198" s="19" t="str">
        <x:v>揭秘“千元股”如何诞生？五大因素曝光！谁是未来潜力股？</x:v>
      </x:c>
      <x:c r="F198" s="19"/>
      <x:c r="G198" s="19"/>
      <x:c r="H198" s="19"/>
      <x:c r="I198" s="19" t="str">
        <x:v>2026-05-13</x:v>
      </x:c>
      <x:c r="J198" s="19" t="str">
        <x:v>https://www.p5w.net/roll/stock/202605/t20260513_6471276.htm</x:v>
      </x:c>
      <x:c r="K198" s="19" t="str">
        <x:v>https://www.p5w.net/roll/stock/202605/t20260513_6471276.htm</x:v>
      </x:c>
      <x:c r="L198" s="19"/>
      <x:c r="M198" s="19"/>
      <x:c r="N198" s="19"/>
      <x:c r="O198" s="19" t="str">
        <x:v>candidate-only</x:v>
      </x:c>
      <x:c r="P198" s="33" t="b">
        <x:v>0</x:v>
      </x:c>
      <x:c r="Q198" s="19" t="n">
        <x:v>1</x:v>
      </x:c>
      <x:c r="R198" s="19" t="str">
        <x:v>conditional-local-file-unavailable</x:v>
      </x:c>
    </x:row>
    <x:row r="199" ht="15" hidden="0" customHeight="1">
      <x:c r="A199" s="19" t="str">
        <x:v>R01–R04审计</x:v>
      </x:c>
      <x:c r="B199" s="19" t="str">
        <x:v>media-candidate-cambricon-d7fffc2665df</x:v>
      </x:c>
      <x:c r="C199" s="19" t="str">
        <x:v>寒武纪</x:v>
      </x:c>
      <x:c r="D199" s="19" t="str">
        <x:v>权威媒体候选</x:v>
      </x:c>
      <x:c r="E199" s="19" t="str">
        <x:v>【风口解读】中国长城涨超8%，算力芯片概念走强</x:v>
      </x:c>
      <x:c r="F199" s="19"/>
      <x:c r="G199" s="19"/>
      <x:c r="H199" s="19"/>
      <x:c r="I199" s="19" t="str">
        <x:v>2026-05-12</x:v>
      </x:c>
      <x:c r="J199" s="19" t="str">
        <x:v>https://www.p5w.net/roll/pcj/202605/t20260512_6471259.htm</x:v>
      </x:c>
      <x:c r="K199" s="19" t="str">
        <x:v>https://www.p5w.net/roll/pcj/202605/t20260512_6471259.htm</x:v>
      </x:c>
      <x:c r="L199" s="19"/>
      <x:c r="M199" s="19"/>
      <x:c r="N199" s="19"/>
      <x:c r="O199" s="19" t="str">
        <x:v>candidate-only</x:v>
      </x:c>
      <x:c r="P199" s="33" t="b">
        <x:v>0</x:v>
      </x:c>
      <x:c r="Q199" s="19" t="n">
        <x:v>1</x:v>
      </x:c>
      <x:c r="R199" s="19" t="str">
        <x:v>conditional-local-file-unavailable</x:v>
      </x:c>
    </x:row>
    <x:row r="200" ht="15" hidden="0" customHeight="1">
      <x:c r="A200" s="19" t="str">
        <x:v>R01–R04审计</x:v>
      </x:c>
      <x:c r="B200" s="19" t="str">
        <x:v>media-candidate-cambricon-ad06e27565fa</x:v>
      </x:c>
      <x:c r="C200" s="19" t="str">
        <x:v>寒武纪</x:v>
      </x:c>
      <x:c r="D200" s="19" t="str">
        <x:v>权威媒体候选</x:v>
      </x:c>
      <x:c r="E200" s="19" t="str">
        <x:v>中际旭创股价盘中突破1000元大关，人工智能ETF华夏（515070）震荡走强</x:v>
      </x:c>
      <x:c r="F200" s="19"/>
      <x:c r="G200" s="19"/>
      <x:c r="H200" s="19"/>
      <x:c r="I200" s="19" t="str">
        <x:v>2026-05-12</x:v>
      </x:c>
      <x:c r="J200" s="19" t="str">
        <x:v>https://www.p5w.net/roll/zqzx/202605/t20260512_6471027.htm</x:v>
      </x:c>
      <x:c r="K200" s="19" t="str">
        <x:v>https://www.p5w.net/roll/zqzx/202605/t20260512_6471027.htm</x:v>
      </x:c>
      <x:c r="L200" s="19"/>
      <x:c r="M200" s="19"/>
      <x:c r="N200" s="19"/>
      <x:c r="O200" s="19" t="str">
        <x:v>candidate-only</x:v>
      </x:c>
      <x:c r="P200" s="33" t="b">
        <x:v>0</x:v>
      </x:c>
      <x:c r="Q200" s="19" t="n">
        <x:v>1</x:v>
      </x:c>
      <x:c r="R200" s="19" t="str">
        <x:v>conditional-local-file-unavailable</x:v>
      </x:c>
    </x:row>
    <x:row r="201" ht="15" hidden="0" customHeight="1">
      <x:c r="A201" s="19" t="str">
        <x:v>R01–R04审计</x:v>
      </x:c>
      <x:c r="B201" s="19" t="str">
        <x:v>media-candidate-cambricon-19958ce139b7</x:v>
      </x:c>
      <x:c r="C201" s="19" t="str">
        <x:v>寒武纪</x:v>
      </x:c>
      <x:c r="D201" s="19" t="str">
        <x:v>权威媒体候选</x:v>
      </x:c>
      <x:c r="E201" s="19" t="str">
        <x:v>AI与机器人盘前速递丨半导体产业链全线爆发！乒乓机器人击败专业选手</x:v>
      </x:c>
      <x:c r="F201" s="19"/>
      <x:c r="G201" s="19"/>
      <x:c r="H201" s="19"/>
      <x:c r="I201" s="19" t="str">
        <x:v>2026-05-12</x:v>
      </x:c>
      <x:c r="J201" s="19" t="str">
        <x:v>https://www.p5w.net/roll/zqzx/202605/t20260512_6470983.htm</x:v>
      </x:c>
      <x:c r="K201" s="19" t="str">
        <x:v>https://www.p5w.net/roll/zqzx/202605/t20260512_6470983.htm</x:v>
      </x:c>
      <x:c r="L201" s="19"/>
      <x:c r="M201" s="19"/>
      <x:c r="N201" s="19"/>
      <x:c r="O201" s="19" t="str">
        <x:v>candidate-only</x:v>
      </x:c>
      <x:c r="P201" s="33" t="b">
        <x:v>0</x:v>
      </x:c>
      <x:c r="Q201" s="19" t="n">
        <x:v>1</x:v>
      </x:c>
      <x:c r="R201" s="19" t="str">
        <x:v>conditional-local-file-unavailable</x:v>
      </x:c>
    </x:row>
    <x:row r="202" ht="15" hidden="0" customHeight="1">
      <x:c r="A202" s="19" t="str">
        <x:v>R01–R04审计</x:v>
      </x:c>
      <x:c r="B202" s="19" t="str">
        <x:v>media-candidate-cambricon-d0faf4a9c03d</x:v>
      </x:c>
      <x:c r="C202" s="19" t="str">
        <x:v>寒武纪</x:v>
      </x:c>
      <x:c r="D202" s="19" t="str">
        <x:v>权威媒体候选</x:v>
      </x:c>
      <x:c r="E202" s="19" t="str">
        <x:v>科技类指数频创新高 重仓基金业绩“水涨船高”</x:v>
      </x:c>
      <x:c r="F202" s="19"/>
      <x:c r="G202" s="19"/>
      <x:c r="H202" s="19"/>
      <x:c r="I202" s="19" t="str">
        <x:v>2026-05-11</x:v>
      </x:c>
      <x:c r="J202" s="19" t="str">
        <x:v>https://www.p5w.net/roll/fund/202605/t20260511_6470691.htm</x:v>
      </x:c>
      <x:c r="K202" s="19" t="str">
        <x:v>https://www.p5w.net/roll/fund/202605/t20260511_6470691.htm</x:v>
      </x:c>
      <x:c r="L202" s="19"/>
      <x:c r="M202" s="19"/>
      <x:c r="N202" s="19"/>
      <x:c r="O202" s="19" t="str">
        <x:v>candidate-only</x:v>
      </x:c>
      <x:c r="P202" s="33" t="b">
        <x:v>0</x:v>
      </x:c>
      <x:c r="Q202" s="19" t="n">
        <x:v>1</x:v>
      </x:c>
      <x:c r="R202" s="19" t="str">
        <x:v>conditional-local-file-unavailable</x:v>
      </x:c>
    </x:row>
    <x:row r="203" ht="15" hidden="0" customHeight="1">
      <x:c r="A203" s="19" t="str">
        <x:v>R01–R04审计</x:v>
      </x:c>
      <x:c r="B203" s="19" t="str">
        <x:v>media-candidate-cambricon-917c69eb4e6b</x:v>
      </x:c>
      <x:c r="C203" s="19" t="str">
        <x:v>寒武纪</x:v>
      </x:c>
      <x:c r="D203" s="19" t="str">
        <x:v>权威媒体候选</x:v>
      </x:c>
      <x:c r="E203" s="19" t="str">
        <x:v>险资、外资、券商，加仓A股！</x:v>
      </x:c>
      <x:c r="F203" s="19"/>
      <x:c r="G203" s="19"/>
      <x:c r="H203" s="19"/>
      <x:c r="I203" s="19" t="str">
        <x:v>2026-05-08</x:v>
      </x:c>
      <x:c r="J203" s="19" t="str">
        <x:v>https://www.p5w.net/roll/zqzx/202605/t20260508_6470289.htm</x:v>
      </x:c>
      <x:c r="K203" s="19" t="str">
        <x:v>https://www.p5w.net/roll/zqzx/202605/t20260508_6470289.htm</x:v>
      </x:c>
      <x:c r="L203" s="19"/>
      <x:c r="M203" s="19"/>
      <x:c r="N203" s="19"/>
      <x:c r="O203" s="19" t="str">
        <x:v>candidate-only</x:v>
      </x:c>
      <x:c r="P203" s="33" t="b">
        <x:v>0</x:v>
      </x:c>
      <x:c r="Q203" s="19" t="n">
        <x:v>1</x:v>
      </x:c>
      <x:c r="R203" s="19" t="str">
        <x:v>conditional-local-file-unavailable</x:v>
      </x:c>
    </x:row>
    <x:row r="204" ht="15" hidden="0" customHeight="1">
      <x:c r="A204" s="19" t="str">
        <x:v>R01–R04审计</x:v>
      </x:c>
      <x:c r="B204" s="19" t="str">
        <x:v>media-candidate-cambricon-eae3e40d4395</x:v>
      </x:c>
      <x:c r="C204" s="19" t="str">
        <x:v>寒武纪</x:v>
      </x:c>
      <x:c r="D204" s="19" t="str">
        <x:v>权威媒体候选</x:v>
      </x:c>
      <x:c r="E204" s="19" t="str">
        <x:v>科创人工智能 ETF 华夏（589010）盘中震荡，近两周累计大涨15.12%</x:v>
      </x:c>
      <x:c r="F204" s="19"/>
      <x:c r="G204" s="19"/>
      <x:c r="H204" s="19"/>
      <x:c r="I204" s="19" t="str">
        <x:v>2026-05-08</x:v>
      </x:c>
      <x:c r="J204" s="19" t="str">
        <x:v>https://www.p5w.net/roll/zqzx/202605/t20260508_6470274.htm</x:v>
      </x:c>
      <x:c r="K204" s="19" t="str">
        <x:v>https://www.p5w.net/roll/zqzx/202605/t20260508_6470274.htm</x:v>
      </x:c>
      <x:c r="L204" s="19"/>
      <x:c r="M204" s="19"/>
      <x:c r="N204" s="19"/>
      <x:c r="O204" s="19" t="str">
        <x:v>candidate-only</x:v>
      </x:c>
      <x:c r="P204" s="33" t="b">
        <x:v>0</x:v>
      </x:c>
      <x:c r="Q204" s="19" t="n">
        <x:v>1</x:v>
      </x:c>
      <x:c r="R204" s="19" t="str">
        <x:v>conditional-local-file-unavailable</x:v>
      </x:c>
    </x:row>
    <x:row r="205" ht="15" hidden="0" customHeight="1">
      <x:c r="A205" s="19" t="str">
        <x:v>R01–R04审计</x:v>
      </x:c>
      <x:c r="B205" s="19" t="str">
        <x:v>media-candidate-cambricon-47b3a05bd46f</x:v>
      </x:c>
      <x:c r="C205" s="19" t="str">
        <x:v>寒武纪</x:v>
      </x:c>
      <x:c r="D205" s="19" t="str">
        <x:v>权威媒体候选</x:v>
      </x:c>
      <x:c r="E205" s="19" t="str">
        <x:v>AI算力需求爆发，科创人工智能ETF华夏（589010）一键布局全产业链</x:v>
      </x:c>
      <x:c r="F205" s="19"/>
      <x:c r="G205" s="19"/>
      <x:c r="H205" s="19"/>
      <x:c r="I205" s="19" t="str">
        <x:v>2026-05-08</x:v>
      </x:c>
      <x:c r="J205" s="19" t="str">
        <x:v>https://www.p5w.net/roll/zqzx/202605/t20260508_6470261.htm</x:v>
      </x:c>
      <x:c r="K205" s="19" t="str">
        <x:v>https://www.p5w.net/roll/zqzx/202605/t20260508_6470261.htm</x:v>
      </x:c>
      <x:c r="L205" s="19"/>
      <x:c r="M205" s="19"/>
      <x:c r="N205" s="19"/>
      <x:c r="O205" s="19" t="str">
        <x:v>candidate-only</x:v>
      </x:c>
      <x:c r="P205" s="33" t="b">
        <x:v>0</x:v>
      </x:c>
      <x:c r="Q205" s="19" t="n">
        <x:v>1</x:v>
      </x:c>
      <x:c r="R205" s="19" t="str">
        <x:v>conditional-local-file-unavailable</x:v>
      </x:c>
    </x:row>
    <x:row r="206" ht="15" hidden="0" customHeight="1">
      <x:c r="A206" s="19" t="str">
        <x:v>R01–R04审计</x:v>
      </x:c>
      <x:c r="B206" s="19" t="str">
        <x:v>media-candidate-cambricon-2d4360efa4e5</x:v>
      </x:c>
      <x:c r="C206" s="19" t="str">
        <x:v>寒武纪</x:v>
      </x:c>
      <x:c r="D206" s="19" t="str">
        <x:v>权威媒体候选</x:v>
      </x:c>
      <x:c r="E206" s="19" t="str">
        <x:v>历史新高！两融余额，2日激增超700亿元！</x:v>
      </x:c>
      <x:c r="F206" s="19"/>
      <x:c r="G206" s="19"/>
      <x:c r="H206" s="19"/>
      <x:c r="I206" s="19" t="str">
        <x:v>2026-05-08</x:v>
      </x:c>
      <x:c r="J206" s="19" t="str">
        <x:v>https://www.p5w.net/roll/finance/202604/t20260421_6455914.htm</x:v>
      </x:c>
      <x:c r="K206" s="19" t="str">
        <x:v>https://www.p5w.net/roll/finance/202604/t20260421_6455914.htm</x:v>
      </x:c>
      <x:c r="L206" s="19"/>
      <x:c r="M206" s="19"/>
      <x:c r="N206" s="19"/>
      <x:c r="O206" s="19" t="str">
        <x:v>candidate-only</x:v>
      </x:c>
      <x:c r="P206" s="33" t="b">
        <x:v>0</x:v>
      </x:c>
      <x:c r="Q206" s="19" t="n">
        <x:v>1</x:v>
      </x:c>
      <x:c r="R206" s="19" t="str">
        <x:v>conditional-local-file-unavailable</x:v>
      </x:c>
    </x:row>
    <x:row r="207" ht="15" hidden="0" customHeight="1">
      <x:c r="A207" s="19" t="str">
        <x:v>R01–R04审计</x:v>
      </x:c>
      <x:c r="B207" s="19" t="str">
        <x:v>media-candidate-cambricon-4a016d788352</x:v>
      </x:c>
      <x:c r="C207" s="19" t="str">
        <x:v>寒武纪</x:v>
      </x:c>
      <x:c r="D207" s="19" t="str">
        <x:v>权威媒体候选</x:v>
      </x:c>
      <x:c r="E207" s="19" t="str">
        <x:v>投入近2万亿研发 上市公司扛起科技创新半壁江山</x:v>
      </x:c>
      <x:c r="F207" s="19"/>
      <x:c r="G207" s="19"/>
      <x:c r="H207" s="19"/>
      <x:c r="I207" s="19" t="str">
        <x:v>2026-05-08</x:v>
      </x:c>
      <x:c r="J207" s="19" t="str">
        <x:v>https://www.p5w.net/roll/company/202605/t20260508_6470159.htm</x:v>
      </x:c>
      <x:c r="K207" s="19" t="str">
        <x:v>https://www.p5w.net/roll/company/202605/t20260508_6470159.htm</x:v>
      </x:c>
      <x:c r="L207" s="19"/>
      <x:c r="M207" s="19"/>
      <x:c r="N207" s="19"/>
      <x:c r="O207" s="19" t="str">
        <x:v>candidate-only</x:v>
      </x:c>
      <x:c r="P207" s="33" t="b">
        <x:v>0</x:v>
      </x:c>
      <x:c r="Q207" s="19" t="n">
        <x:v>1</x:v>
      </x:c>
      <x:c r="R207" s="19" t="str">
        <x:v>conditional-local-file-unavailable</x:v>
      </x:c>
    </x:row>
    <x:row r="208" ht="15" hidden="0" customHeight="1">
      <x:c r="A208" s="19" t="str">
        <x:v>R01–R04审计</x:v>
      </x:c>
      <x:c r="B208" s="19" t="str">
        <x:v>media-candidate-cambricon-e426e7b95390</x:v>
      </x:c>
      <x:c r="C208" s="19" t="str">
        <x:v>寒武纪</x:v>
      </x:c>
      <x:c r="D208" s="19" t="str">
        <x:v>权威媒体候选</x:v>
      </x:c>
      <x:c r="E208" s="19" t="str">
        <x:v>国产算力强势突围，科创板块迎配置良机，关注兴业基金旗下科技类指数产品</x:v>
      </x:c>
      <x:c r="F208" s="19"/>
      <x:c r="G208" s="19"/>
      <x:c r="H208" s="19"/>
      <x:c r="I208" s="19" t="str">
        <x:v>2026-05-07</x:v>
      </x:c>
      <x:c r="J208" s="19" t="str">
        <x:v>https://www.p5w.net/roll/zqzx/202605/t20260507_6469969.htm</x:v>
      </x:c>
      <x:c r="K208" s="19" t="str">
        <x:v>https://www.p5w.net/roll/zqzx/202605/t20260507_6469969.htm</x:v>
      </x:c>
      <x:c r="L208" s="19"/>
      <x:c r="M208" s="19"/>
      <x:c r="N208" s="19"/>
      <x:c r="O208" s="19" t="str">
        <x:v>candidate-only</x:v>
      </x:c>
      <x:c r="P208" s="33" t="b">
        <x:v>0</x:v>
      </x:c>
      <x:c r="Q208" s="19" t="n">
        <x:v>1</x:v>
      </x:c>
      <x:c r="R208" s="19" t="str">
        <x:v>conditional-local-file-unavailable</x:v>
      </x:c>
    </x:row>
    <x:row r="209" ht="21.600000381469727" hidden="0" customHeight="1">
      <x:c r="A209" s="19" t="str">
        <x:v>R01–R04审计</x:v>
      </x:c>
      <x:c r="B209" s="19" t="str">
        <x:v>media-candidate-cambricon-6a75832e190c</x:v>
      </x:c>
      <x:c r="C209" s="19" t="str">
        <x:v>寒武纪</x:v>
      </x:c>
      <x:c r="D209" s="19" t="str">
        <x:v>权威媒体候选</x:v>
      </x:c>
      <x:c r="E209" s="19" t="str">
        <x:v>科创50指数大涨超5%，多只芯片龙头创新高，科创50ETF易方达（588080）成交火热</x:v>
      </x:c>
      <x:c r="F209" s="19"/>
      <x:c r="G209" s="19"/>
      <x:c r="H209" s="19"/>
      <x:c r="I209" s="19" t="str">
        <x:v>2026-05-06</x:v>
      </x:c>
      <x:c r="J209" s="19" t="str">
        <x:v>https://www.p5w.net/roll/zqzx/202605/t20260506_6469871.htm</x:v>
      </x:c>
      <x:c r="K209" s="19" t="str">
        <x:v>https://www.p5w.net/roll/zqzx/202605/t20260506_6469871.htm</x:v>
      </x:c>
      <x:c r="L209" s="19"/>
      <x:c r="M209" s="19"/>
      <x:c r="N209" s="19"/>
      <x:c r="O209" s="19" t="str">
        <x:v>candidate-only</x:v>
      </x:c>
      <x:c r="P209" s="33" t="b">
        <x:v>0</x:v>
      </x:c>
      <x:c r="Q209" s="19" t="n">
        <x:v>1</x:v>
      </x:c>
      <x:c r="R209" s="19" t="str">
        <x:v>conditional-local-file-unavailable</x:v>
      </x:c>
    </x:row>
    <x:row r="210" ht="15" hidden="0" customHeight="1">
      <x:c r="A210" s="19" t="str">
        <x:v>R01–R04审计</x:v>
      </x:c>
      <x:c r="B210" s="19" t="str">
        <x:v>media-candidate-cambricon-0de94915c630</x:v>
      </x:c>
      <x:c r="C210" s="19" t="str">
        <x:v>寒武纪</x:v>
      </x:c>
      <x:c r="D210" s="19" t="str">
        <x:v>权威媒体候选</x:v>
      </x:c>
      <x:c r="E210" s="19" t="str">
        <x:v>罕见大涨！大资金出手加仓（名单）</x:v>
      </x:c>
      <x:c r="F210" s="19"/>
      <x:c r="G210" s="19"/>
      <x:c r="H210" s="19"/>
      <x:c r="I210" s="19" t="str">
        <x:v>2026-05-06</x:v>
      </x:c>
      <x:c r="J210" s="19" t="str">
        <x:v>https://www.p5w.net/roll/zqzx/202605/t20260506_6469775.htm</x:v>
      </x:c>
      <x:c r="K210" s="19" t="str">
        <x:v>https://www.p5w.net/roll/zqzx/202605/t20260506_6469775.htm</x:v>
      </x:c>
      <x:c r="L210" s="19"/>
      <x:c r="M210" s="19"/>
      <x:c r="N210" s="19"/>
      <x:c r="O210" s="19" t="str">
        <x:v>candidate-only</x:v>
      </x:c>
      <x:c r="P210" s="33" t="b">
        <x:v>0</x:v>
      </x:c>
      <x:c r="Q210" s="19" t="n">
        <x:v>1</x:v>
      </x:c>
      <x:c r="R210" s="19" t="str">
        <x:v>conditional-local-file-unavailable</x:v>
      </x:c>
    </x:row>
    <x:row r="211" ht="15" hidden="0" customHeight="1">
      <x:c r="A211" s="19" t="str">
        <x:v>R01–R04审计</x:v>
      </x:c>
      <x:c r="B211" s="19" t="str">
        <x:v>media-candidate-cambricon-cd71c90846bd</x:v>
      </x:c>
      <x:c r="C211" s="19" t="str">
        <x:v>寒武纪</x:v>
      </x:c>
      <x:c r="D211" s="19" t="str">
        <x:v>权威媒体候选</x:v>
      </x:c>
      <x:c r="E211" s="19" t="str">
        <x:v>德邦基金：半导体迎来超级周期？布局机遇备受关注</x:v>
      </x:c>
      <x:c r="F211" s="19"/>
      <x:c r="G211" s="19"/>
      <x:c r="H211" s="19"/>
      <x:c r="I211" s="19" t="str">
        <x:v>2026-05-06</x:v>
      </x:c>
      <x:c r="J211" s="19" t="str">
        <x:v>https://www.p5w.net/roll/pcj/202605/t20260506_6469738.htm</x:v>
      </x:c>
      <x:c r="K211" s="19" t="str">
        <x:v>https://www.p5w.net/roll/pcj/202605/t20260506_6469738.htm</x:v>
      </x:c>
      <x:c r="L211" s="19"/>
      <x:c r="M211" s="19"/>
      <x:c r="N211" s="19"/>
      <x:c r="O211" s="19" t="str">
        <x:v>candidate-only</x:v>
      </x:c>
      <x:c r="P211" s="33" t="b">
        <x:v>0</x:v>
      </x:c>
      <x:c r="Q211" s="19" t="n">
        <x:v>1</x:v>
      </x:c>
      <x:c r="R211" s="19" t="str">
        <x:v>conditional-local-file-unavailable</x:v>
      </x:c>
    </x:row>
    <x:row r="212" ht="15" hidden="0" customHeight="1">
      <x:c r="A212" s="19" t="str">
        <x:v>R01–R04审计</x:v>
      </x:c>
      <x:c r="B212" s="19" t="str">
        <x:v>media-candidate-cambricon-842f676376df</x:v>
      </x:c>
      <x:c r="C212" s="19" t="str">
        <x:v>寒武纪</x:v>
      </x:c>
      <x:c r="D212" s="19" t="str">
        <x:v>权威媒体候选</x:v>
      </x:c>
      <x:c r="E212" s="19" t="str">
        <x:v>五一假期期间半导体行业利好不断，数字经济ETF鹏扬（560800）涨6.55%</x:v>
      </x:c>
      <x:c r="F212" s="19"/>
      <x:c r="G212" s="19"/>
      <x:c r="H212" s="19"/>
      <x:c r="I212" s="19" t="str">
        <x:v>2026-05-06</x:v>
      </x:c>
      <x:c r="J212" s="19" t="str">
        <x:v>https://www.p5w.net/roll/zqzx/202605/t20260506_6469718.htm</x:v>
      </x:c>
      <x:c r="K212" s="19" t="str">
        <x:v>https://www.p5w.net/roll/zqzx/202605/t20260506_6469718.htm</x:v>
      </x:c>
      <x:c r="L212" s="19"/>
      <x:c r="M212" s="19"/>
      <x:c r="N212" s="19"/>
      <x:c r="O212" s="19" t="str">
        <x:v>candidate-only</x:v>
      </x:c>
      <x:c r="P212" s="33" t="b">
        <x:v>0</x:v>
      </x:c>
      <x:c r="Q212" s="19" t="n">
        <x:v>1</x:v>
      </x:c>
      <x:c r="R212" s="19" t="str">
        <x:v>conditional-local-file-unavailable</x:v>
      </x:c>
    </x:row>
    <x:row r="213" ht="32.400001525878906" hidden="0" customHeight="1">
      <x:c r="A213" s="19" t="str">
        <x:v>R01–R04审计</x:v>
      </x:c>
      <x:c r="B213" s="19" t="str">
        <x:v>media-candidate-cambricon-255b18da262c</x:v>
      </x:c>
      <x:c r="C213" s="19" t="str">
        <x:v>寒武纪</x:v>
      </x:c>
      <x:c r="D213" s="19" t="str">
        <x:v>权威媒体候选</x:v>
      </x:c>
      <x:c r="E213" s="19" t="str">
        <x:v>AMD Q1营收超预期同比增38%，芯片ETF华夏（159995）大涨8.63%，海光信息等多股涨停</x:v>
      </x:c>
      <x:c r="F213" s="19"/>
      <x:c r="G213" s="19"/>
      <x:c r="H213" s="19"/>
      <x:c r="I213" s="19" t="str">
        <x:v>2026-05-06</x:v>
      </x:c>
      <x:c r="J213" s="19" t="str">
        <x:v>https://www.p5w.net/roll/zqzx/202605/t20260506_6469606.htm</x:v>
      </x:c>
      <x:c r="K213" s="19" t="str">
        <x:v>https://www.p5w.net/roll/zqzx/202605/t20260506_6469606.htm</x:v>
      </x:c>
      <x:c r="L213" s="19"/>
      <x:c r="M213" s="19"/>
      <x:c r="N213" s="19"/>
      <x:c r="O213" s="19" t="str">
        <x:v>candidate-only</x:v>
      </x:c>
      <x:c r="P213" s="33" t="b">
        <x:v>0</x:v>
      </x:c>
      <x:c r="Q213" s="19" t="n">
        <x:v>1</x:v>
      </x:c>
      <x:c r="R213" s="19" t="str">
        <x:v>conditional-local-file-unavailable</x:v>
      </x:c>
    </x:row>
    <x:row r="214" ht="15" hidden="0" customHeight="1">
      <x:c r="A214" s="19" t="str">
        <x:v>R01–R04审计</x:v>
      </x:c>
      <x:c r="B214" s="19" t="str">
        <x:v>media-candidate-cambricon-0959065a6112</x:v>
      </x:c>
      <x:c r="C214" s="19" t="str">
        <x:v>寒武纪</x:v>
      </x:c>
      <x:c r="D214" s="19" t="str">
        <x:v>权威媒体候选</x:v>
      </x:c>
      <x:c r="E214" s="19" t="str">
        <x:v>易方达科创板50ETF：硬科技逆势领涨，政策与业绩双轮驱动</x:v>
      </x:c>
      <x:c r="F214" s="19"/>
      <x:c r="G214" s="19"/>
      <x:c r="H214" s="19"/>
      <x:c r="I214" s="19" t="str">
        <x:v>2026-05-06</x:v>
      </x:c>
      <x:c r="J214" s="19" t="str">
        <x:v>https://www.p5w.net/roll/pcj/202605/t20260506_6469599.htm</x:v>
      </x:c>
      <x:c r="K214" s="19" t="str">
        <x:v>https://www.p5w.net/roll/pcj/202605/t20260506_6469599.htm</x:v>
      </x:c>
      <x:c r="L214" s="19"/>
      <x:c r="M214" s="19"/>
      <x:c r="N214" s="19"/>
      <x:c r="O214" s="19" t="str">
        <x:v>candidate-only</x:v>
      </x:c>
      <x:c r="P214" s="33" t="b">
        <x:v>0</x:v>
      </x:c>
      <x:c r="Q214" s="19" t="n">
        <x:v>1</x:v>
      </x:c>
      <x:c r="R214" s="19" t="str">
        <x:v>conditional-local-file-unavailable</x:v>
      </x:c>
    </x:row>
    <x:row r="215" ht="15" hidden="0" customHeight="1">
      <x:c r="A215" s="19" t="str">
        <x:v>R01–R04审计</x:v>
      </x:c>
      <x:c r="B215" s="19" t="str">
        <x:v>media-candidate-cambricon-0cae453e2979</x:v>
      </x:c>
      <x:c r="C215" s="19" t="str">
        <x:v>寒武纪</x:v>
      </x:c>
      <x:c r="D215" s="19" t="str">
        <x:v>权威媒体候选</x:v>
      </x:c>
      <x:c r="E215" s="19" t="str">
        <x:v>机构一季度投资路径揭晓：公募基金拥抱科技 社保基金比拼耐力</x:v>
      </x:c>
      <x:c r="F215" s="19"/>
      <x:c r="G215" s="19"/>
      <x:c r="H215" s="19"/>
      <x:c r="I215" s="19" t="str">
        <x:v>2026-05-06</x:v>
      </x:c>
      <x:c r="J215" s="19" t="str">
        <x:v>https://www.p5w.net/roll/fund/202605/t20260506_6469587.htm</x:v>
      </x:c>
      <x:c r="K215" s="19" t="str">
        <x:v>https://www.p5w.net/roll/fund/202605/t20260506_6469587.htm</x:v>
      </x:c>
      <x:c r="L215" s="19"/>
      <x:c r="M215" s="19"/>
      <x:c r="N215" s="19"/>
      <x:c r="O215" s="19" t="str">
        <x:v>candidate-only</x:v>
      </x:c>
      <x:c r="P215" s="33" t="b">
        <x:v>0</x:v>
      </x:c>
      <x:c r="Q215" s="19" t="n">
        <x:v>1</x:v>
      </x:c>
      <x:c r="R215" s="19" t="str">
        <x:v>conditional-local-file-unavailable</x:v>
      </x:c>
    </x:row>
    <x:row r="216" ht="15" hidden="0" customHeight="1">
      <x:c r="A216" s="19" t="str">
        <x:v>R01–R04审计</x:v>
      </x:c>
      <x:c r="B216" s="19" t="str">
        <x:v>media-candidate-cambricon-6454362d6b46</x:v>
      </x:c>
      <x:c r="C216" s="19" t="str">
        <x:v>寒武纪</x:v>
      </x:c>
      <x:c r="D216" s="19" t="str">
        <x:v>权威媒体候选</x:v>
      </x:c>
      <x:c r="E216" s="19" t="str">
        <x:v>科技叙事重构中国资本市场底色</x:v>
      </x:c>
      <x:c r="F216" s="19"/>
      <x:c r="G216" s="19"/>
      <x:c r="H216" s="19"/>
      <x:c r="I216" s="19" t="str">
        <x:v>2026-05-06</x:v>
      </x:c>
      <x:c r="J216" s="19" t="str">
        <x:v>https://www.p5w.net/roll/stock/202605/t20260506_6469581.htm</x:v>
      </x:c>
      <x:c r="K216" s="19" t="str">
        <x:v>https://www.p5w.net/roll/stock/202605/t20260506_6469581.htm</x:v>
      </x:c>
      <x:c r="L216" s="19"/>
      <x:c r="M216" s="19"/>
      <x:c r="N216" s="19"/>
      <x:c r="O216" s="19" t="str">
        <x:v>candidate-only</x:v>
      </x:c>
      <x:c r="P216" s="33" t="b">
        <x:v>0</x:v>
      </x:c>
      <x:c r="Q216" s="19" t="n">
        <x:v>1</x:v>
      </x:c>
      <x:c r="R216" s="19" t="str">
        <x:v>conditional-local-file-unavailable</x:v>
      </x:c>
    </x:row>
    <x:row r="217" ht="15" hidden="0" customHeight="1">
      <x:c r="A217" s="19" t="str">
        <x:v>R01–R04审计</x:v>
      </x:c>
      <x:c r="B217" s="19" t="str">
        <x:v>media-candidate-cambricon-624f5e01aaab</x:v>
      </x:c>
      <x:c r="C217" s="19" t="str">
        <x:v>寒武纪</x:v>
      </x:c>
      <x:c r="D217" s="19" t="str">
        <x:v>权威媒体候选</x:v>
      </x:c>
      <x:c r="E217" s="19" t="str">
        <x:v>科技叙事重构中国资本市场底色</x:v>
      </x:c>
      <x:c r="F217" s="19"/>
      <x:c r="G217" s="19"/>
      <x:c r="H217" s="19"/>
      <x:c r="I217" s="19" t="str">
        <x:v>2026-05-06</x:v>
      </x:c>
      <x:c r="J217" s="19" t="str">
        <x:v>https://www.p5w.net/roll/cj/202605/t20260506_6469578.htm</x:v>
      </x:c>
      <x:c r="K217" s="19" t="str">
        <x:v>https://www.p5w.net/roll/cj/202605/t20260506_6469578.htm</x:v>
      </x:c>
      <x:c r="L217" s="19"/>
      <x:c r="M217" s="19"/>
      <x:c r="N217" s="19"/>
      <x:c r="O217" s="19" t="str">
        <x:v>candidate-only</x:v>
      </x:c>
      <x:c r="P217" s="33" t="b">
        <x:v>0</x:v>
      </x:c>
      <x:c r="Q217" s="19" t="n">
        <x:v>1</x:v>
      </x:c>
      <x:c r="R217" s="19" t="str">
        <x:v>conditional-local-file-unavailable</x:v>
      </x:c>
    </x:row>
    <x:row r="218" ht="15" hidden="0" customHeight="1">
      <x:c r="A218" s="19" t="str">
        <x:v>R01–R04审计</x:v>
      </x:c>
      <x:c r="B218" s="19" t="str">
        <x:v>media-candidate-cambricon-b6d809d0f1bf</x:v>
      </x:c>
      <x:c r="C218" s="19" t="str">
        <x:v>寒武纪</x:v>
      </x:c>
      <x:c r="D218" s="19" t="str">
        <x:v>权威媒体候选</x:v>
      </x:c>
      <x:c r="E218" s="19" t="str">
        <x:v>最牛暴涨66.51%！这类ETF领跑全市场，底层逻辑是什么？</x:v>
      </x:c>
      <x:c r="F218" s="19"/>
      <x:c r="G218" s="19"/>
      <x:c r="H218" s="19"/>
      <x:c r="I218" s="19" t="str">
        <x:v>2026-05-02</x:v>
      </x:c>
      <x:c r="J218" s="19" t="str">
        <x:v>https://www.p5w.net/roll/fund/202605/t20260502_6469447.htm</x:v>
      </x:c>
      <x:c r="K218" s="19" t="str">
        <x:v>https://www.p5w.net/roll/fund/202605/t20260502_6469447.htm</x:v>
      </x:c>
      <x:c r="L218" s="19"/>
      <x:c r="M218" s="19"/>
      <x:c r="N218" s="19"/>
      <x:c r="O218" s="19" t="str">
        <x:v>candidate-only</x:v>
      </x:c>
      <x:c r="P218" s="33" t="b">
        <x:v>0</x:v>
      </x:c>
      <x:c r="Q218" s="19" t="n">
        <x:v>1</x:v>
      </x:c>
      <x:c r="R218" s="19" t="str">
        <x:v>conditional-local-file-unavailable</x:v>
      </x:c>
    </x:row>
    <x:row r="219" ht="15" hidden="0" customHeight="1">
      <x:c r="A219" s="19" t="str">
        <x:v>R01–R04审计</x:v>
      </x:c>
      <x:c r="B219" s="19" t="str">
        <x:v>media-candidate-cambricon-bef057aea142</x:v>
      </x:c>
      <x:c r="C219" s="19" t="str">
        <x:v>寒武纪</x:v>
      </x:c>
      <x:c r="D219" s="19" t="str">
        <x:v>权威媒体候选</x:v>
      </x:c>
      <x:c r="E219" s="19" t="str">
        <x:v>揭秘涨停丨“股王”20%涨停，封单金额超7亿元！</x:v>
      </x:c>
      <x:c r="F219" s="19"/>
      <x:c r="G219" s="19"/>
      <x:c r="H219" s="19"/>
      <x:c r="I219" s="19" t="str">
        <x:v>2026-05-01</x:v>
      </x:c>
      <x:c r="J219" s="19" t="str">
        <x:v>https://www.p5w.net/roll/stock/202605/t20260501_6469405.htm</x:v>
      </x:c>
      <x:c r="K219" s="19" t="str">
        <x:v>https://www.p5w.net/roll/stock/202605/t20260501_6469405.htm</x:v>
      </x:c>
      <x:c r="L219" s="19"/>
      <x:c r="M219" s="19"/>
      <x:c r="N219" s="19"/>
      <x:c r="O219" s="19" t="str">
        <x:v>candidate-only</x:v>
      </x:c>
      <x:c r="P219" s="33" t="b">
        <x:v>0</x:v>
      </x:c>
      <x:c r="Q219" s="19" t="n">
        <x:v>1</x:v>
      </x:c>
      <x:c r="R219" s="19" t="str">
        <x:v>conditional-local-file-unavailable</x:v>
      </x:c>
    </x:row>
    <x:row r="220" ht="15" hidden="0" customHeight="1">
      <x:c r="A220" s="19" t="str">
        <x:v>R01–R04审计</x:v>
      </x:c>
      <x:c r="B220" s="19" t="str">
        <x:v>media-candidate-cambricon-14b13afe8d4b</x:v>
      </x:c>
      <x:c r="C220" s="19" t="str">
        <x:v>寒武纪</x:v>
      </x:c>
      <x:c r="D220" s="19" t="str">
        <x:v>权威媒体候选</x:v>
      </x:c>
      <x:c r="E220" s="19" t="str">
        <x:v>51.09万亿元、4.46万亿元！沪市公司交卷</x:v>
      </x:c>
      <x:c r="F220" s="19"/>
      <x:c r="G220" s="19"/>
      <x:c r="H220" s="19"/>
      <x:c r="I220" s="19" t="str">
        <x:v>2026-05-01</x:v>
      </x:c>
      <x:c r="J220" s="19" t="str">
        <x:v>https://www.p5w.net/roll/stock/202605/t20260501_6469402.htm</x:v>
      </x:c>
      <x:c r="K220" s="19" t="str">
        <x:v>https://www.p5w.net/roll/stock/202605/t20260501_6469402.htm</x:v>
      </x:c>
      <x:c r="L220" s="19"/>
      <x:c r="M220" s="19"/>
      <x:c r="N220" s="19"/>
      <x:c r="O220" s="19" t="str">
        <x:v>candidate-only</x:v>
      </x:c>
      <x:c r="P220" s="33" t="b">
        <x:v>0</x:v>
      </x:c>
      <x:c r="Q220" s="19" t="n">
        <x:v>1</x:v>
      </x:c>
      <x:c r="R220" s="19" t="str">
        <x:v>conditional-local-file-unavailable</x:v>
      </x:c>
    </x:row>
    <x:row r="221" ht="15" hidden="0" customHeight="1">
      <x:c r="A221" s="19" t="str">
        <x:v>R01–R04审计</x:v>
      </x:c>
      <x:c r="B221" s="19" t="str">
        <x:v>media-candidate-cambricon-bd4b9c7a338b</x:v>
      </x:c>
      <x:c r="C221" s="19" t="str">
        <x:v>寒武纪</x:v>
      </x:c>
      <x:c r="D221" s="19" t="str">
        <x:v>权威媒体候选</x:v>
      </x:c>
      <x:c r="E221" s="19" t="str">
        <x:v>“中国AI芯片第一股”，市值冲上7100亿，彻底爆了！</x:v>
      </x:c>
      <x:c r="F221" s="19"/>
      <x:c r="G221" s="19"/>
      <x:c r="H221" s="19"/>
      <x:c r="I221" s="19" t="str">
        <x:v>2026-04-30</x:v>
      </x:c>
      <x:c r="J221" s="19" t="str">
        <x:v>https://www.p5w.net/roll/pcj/202604/t20260430_6469351.htm</x:v>
      </x:c>
      <x:c r="K221" s="19" t="str">
        <x:v>https://www.p5w.net/roll/pcj/202604/t20260430_6469351.htm</x:v>
      </x:c>
      <x:c r="L221" s="19"/>
      <x:c r="M221" s="19"/>
      <x:c r="N221" s="19"/>
      <x:c r="O221" s="19" t="str">
        <x:v>candidate-only</x:v>
      </x:c>
      <x:c r="P221" s="33" t="b">
        <x:v>0</x:v>
      </x:c>
      <x:c r="Q221" s="19" t="n">
        <x:v>1</x:v>
      </x:c>
      <x:c r="R221" s="19" t="str">
        <x:v>conditional-local-file-unavailable</x:v>
      </x:c>
    </x:row>
    <x:row r="222" ht="15" hidden="0" customHeight="1">
      <x:c r="A222" s="19" t="str">
        <x:v>R01–R04审计</x:v>
      </x:c>
      <x:c r="B222" s="19" t="str">
        <x:v>media-candidate-cambricon-8a5dc2698988</x:v>
      </x:c>
      <x:c r="C222" s="19" t="str">
        <x:v>寒武纪</x:v>
      </x:c>
      <x:c r="D222" s="19" t="str">
        <x:v>权威媒体候选</x:v>
      </x:c>
      <x:c r="E222" s="19" t="str">
        <x:v>A股突发，三大利好！</x:v>
      </x:c>
      <x:c r="F222" s="19"/>
      <x:c r="G222" s="19"/>
      <x:c r="H222" s="19"/>
      <x:c r="I222" s="19" t="str">
        <x:v>2026-04-30</x:v>
      </x:c>
      <x:c r="J222" s="19" t="str">
        <x:v>https://www.p5w.net/roll/zqzx/202604/t20260430_6469159.htm</x:v>
      </x:c>
      <x:c r="K222" s="19" t="str">
        <x:v>https://www.p5w.net/roll/zqzx/202604/t20260430_6469159.htm</x:v>
      </x:c>
      <x:c r="L222" s="19"/>
      <x:c r="M222" s="19"/>
      <x:c r="N222" s="19"/>
      <x:c r="O222" s="19" t="str">
        <x:v>candidate-only</x:v>
      </x:c>
      <x:c r="P222" s="33" t="b">
        <x:v>0</x:v>
      </x:c>
      <x:c r="Q222" s="19" t="n">
        <x:v>1</x:v>
      </x:c>
      <x:c r="R222" s="19" t="str">
        <x:v>conditional-local-file-unavailable</x:v>
      </x:c>
    </x:row>
    <x:row r="223" ht="21.600000381469727" hidden="0" customHeight="1">
      <x:c r="A223" s="19" t="str">
        <x:v>R01–R04审计</x:v>
      </x:c>
      <x:c r="B223" s="19" t="str">
        <x:v>media-candidate-cambricon-5a47b74fd27c</x:v>
      </x:c>
      <x:c r="C223" s="19" t="str">
        <x:v>寒武纪</x:v>
      </x:c>
      <x:c r="D223" s="19" t="str">
        <x:v>权威媒体候选</x:v>
      </x:c>
      <x:c r="E223" s="19" t="str">
        <x:v>国产芯片产业链再度爆发，科创芯片设计ETF易方达（589030）标的指数半日涨5.5%</x:v>
      </x:c>
      <x:c r="F223" s="19"/>
      <x:c r="G223" s="19"/>
      <x:c r="H223" s="19"/>
      <x:c r="I223" s="19" t="str">
        <x:v>2026-04-30</x:v>
      </x:c>
      <x:c r="J223" s="19" t="str">
        <x:v>https://www.p5w.net/roll/zqzx/202604/t20260430_6469030.htm</x:v>
      </x:c>
      <x:c r="K223" s="19" t="str">
        <x:v>https://www.p5w.net/roll/zqzx/202604/t20260430_6469030.htm</x:v>
      </x:c>
      <x:c r="L223" s="19"/>
      <x:c r="M223" s="19"/>
      <x:c r="N223" s="19"/>
      <x:c r="O223" s="19" t="str">
        <x:v>candidate-only</x:v>
      </x:c>
      <x:c r="P223" s="33" t="b">
        <x:v>0</x:v>
      </x:c>
      <x:c r="Q223" s="19" t="n">
        <x:v>1</x:v>
      </x:c>
      <x:c r="R223" s="19" t="str">
        <x:v>conditional-local-file-unavailable</x:v>
      </x:c>
    </x:row>
    <x:row r="224" ht="15" hidden="0" customHeight="1">
      <x:c r="A224" s="19" t="str">
        <x:v>R01–R04审计</x:v>
      </x:c>
      <x:c r="B224" s="19" t="str">
        <x:v>media-candidate-cambricon-eab6ece987b5</x:v>
      </x:c>
      <x:c r="C224" s="19" t="str">
        <x:v>寒武纪</x:v>
      </x:c>
      <x:c r="D224" s="19" t="str">
        <x:v>权威媒体候选</x:v>
      </x:c>
      <x:c r="E224" s="19" t="str">
        <x:v>政策加码“人工智能+”，关注人工智能ETF易方达（159819）投资价值</x:v>
      </x:c>
      <x:c r="F224" s="19"/>
      <x:c r="G224" s="19"/>
      <x:c r="H224" s="19"/>
      <x:c r="I224" s="19" t="str">
        <x:v>2026-04-30</x:v>
      </x:c>
      <x:c r="J224" s="19" t="str">
        <x:v>https://www.p5w.net/roll/zqzx/202604/t20260430_6468958.htm</x:v>
      </x:c>
      <x:c r="K224" s="19" t="str">
        <x:v>https://www.p5w.net/roll/zqzx/202604/t20260430_6468958.htm</x:v>
      </x:c>
      <x:c r="L224" s="19"/>
      <x:c r="M224" s="19"/>
      <x:c r="N224" s="19"/>
      <x:c r="O224" s="19" t="str">
        <x:v>candidate-only</x:v>
      </x:c>
      <x:c r="P224" s="33" t="b">
        <x:v>0</x:v>
      </x:c>
      <x:c r="Q224" s="19" t="n">
        <x:v>1</x:v>
      </x:c>
      <x:c r="R224" s="19" t="str">
        <x:v>conditional-local-file-unavailable</x:v>
      </x:c>
    </x:row>
    <x:row r="225" ht="15" hidden="0" customHeight="1">
      <x:c r="A225" s="19" t="str">
        <x:v>R01–R04审计</x:v>
      </x:c>
      <x:c r="B225" s="19" t="str">
        <x:v>media-candidate-cambricon-102d24c5c574</x:v>
      </x:c>
      <x:c r="C225" s="19" t="str">
        <x:v>寒武纪</x:v>
      </x:c>
      <x:c r="D225" s="19" t="str">
        <x:v>权威媒体候选</x:v>
      </x:c>
      <x:c r="E225" s="19" t="str">
        <x:v>涨价潮席卷模拟芯片行业，科创芯片设计ETF易方达（589030）标的指数涨超4%</x:v>
      </x:c>
      <x:c r="F225" s="19"/>
      <x:c r="G225" s="19"/>
      <x:c r="H225" s="19"/>
      <x:c r="I225" s="19" t="str">
        <x:v>2026-04-30</x:v>
      </x:c>
      <x:c r="J225" s="19" t="str">
        <x:v>https://www.p5w.net/roll/zqzx/202604/t20260430_6468944.htm</x:v>
      </x:c>
      <x:c r="K225" s="19" t="str">
        <x:v>https://www.p5w.net/roll/zqzx/202604/t20260430_6468944.htm</x:v>
      </x:c>
      <x:c r="L225" s="19"/>
      <x:c r="M225" s="19"/>
      <x:c r="N225" s="19"/>
      <x:c r="O225" s="19" t="str">
        <x:v>candidate-only</x:v>
      </x:c>
      <x:c r="P225" s="33" t="b">
        <x:v>0</x:v>
      </x:c>
      <x:c r="Q225" s="19" t="n">
        <x:v>1</x:v>
      </x:c>
      <x:c r="R225" s="19" t="str">
        <x:v>conditional-local-file-unavailable</x:v>
      </x:c>
    </x:row>
    <x:row r="226" ht="15" hidden="0" customHeight="1">
      <x:c r="A226" s="19" t="str">
        <x:v>R01–R04审计</x:v>
      </x:c>
      <x:c r="B226" s="19" t="str">
        <x:v>media-candidate-cambricon-6135aa70b969</x:v>
      </x:c>
      <x:c r="C226" s="19" t="str">
        <x:v>寒武纪</x:v>
      </x:c>
      <x:c r="D226" s="19" t="str">
        <x:v>权威媒体候选</x:v>
      </x:c>
      <x:c r="E226" s="19" t="str">
        <x:v>第九届数字中国建设峰会在福州开幕，数字经济ETF鹏扬（560800）涨2.43%</x:v>
      </x:c>
      <x:c r="F226" s="19"/>
      <x:c r="G226" s="19"/>
      <x:c r="H226" s="19"/>
      <x:c r="I226" s="19" t="str">
        <x:v>2026-04-30</x:v>
      </x:c>
      <x:c r="J226" s="19" t="str">
        <x:v>https://www.p5w.net/roll/zqzx/202604/t20260430_6468932.htm</x:v>
      </x:c>
      <x:c r="K226" s="19" t="str">
        <x:v>https://www.p5w.net/roll/zqzx/202604/t20260430_6468932.htm</x:v>
      </x:c>
      <x:c r="L226" s="19"/>
      <x:c r="M226" s="19"/>
      <x:c r="N226" s="19"/>
      <x:c r="O226" s="19" t="str">
        <x:v>candidate-only</x:v>
      </x:c>
      <x:c r="P226" s="33" t="b">
        <x:v>0</x:v>
      </x:c>
      <x:c r="Q226" s="19" t="n">
        <x:v>1</x:v>
      </x:c>
      <x:c r="R226" s="19" t="str">
        <x:v>conditional-local-file-unavailable</x:v>
      </x:c>
    </x:row>
    <x:row r="227" ht="15" hidden="0" customHeight="1">
      <x:c r="A227" s="19" t="str">
        <x:v>R01–R04审计</x:v>
      </x:c>
      <x:c r="B227" s="19" t="str">
        <x:v>media-candidate-cambricon-e0400b1b11ee</x:v>
      </x:c>
      <x:c r="C227" s="19" t="str">
        <x:v>寒武纪</x:v>
      </x:c>
      <x:c r="D227" s="19" t="str">
        <x:v>权威媒体候选</x:v>
      </x:c>
      <x:c r="E227" s="19" t="str">
        <x:v>易方达科创50ETF：政策与产业共振下的硬科技配置窗口</x:v>
      </x:c>
      <x:c r="F227" s="19"/>
      <x:c r="G227" s="19"/>
      <x:c r="H227" s="19"/>
      <x:c r="I227" s="19" t="str">
        <x:v>2026-04-30</x:v>
      </x:c>
      <x:c r="J227" s="19" t="str">
        <x:v>https://www.p5w.net/roll/pcj/202604/t20260430_6468877.htm</x:v>
      </x:c>
      <x:c r="K227" s="19" t="str">
        <x:v>https://www.p5w.net/roll/pcj/202604/t20260430_6468877.htm</x:v>
      </x:c>
      <x:c r="L227" s="19"/>
      <x:c r="M227" s="19"/>
      <x:c r="N227" s="19"/>
      <x:c r="O227" s="19" t="str">
        <x:v>candidate-only</x:v>
      </x:c>
      <x:c r="P227" s="33" t="b">
        <x:v>0</x:v>
      </x:c>
      <x:c r="Q227" s="19" t="n">
        <x:v>1</x:v>
      </x:c>
      <x:c r="R227" s="19" t="str">
        <x:v>conditional-local-file-unavailable</x:v>
      </x:c>
    </x:row>
    <x:row r="228" ht="21.600000381469727" hidden="0" customHeight="1">
      <x:c r="A228" s="19" t="str">
        <x:v>R01–R04审计</x:v>
      </x:c>
      <x:c r="B228" s="19" t="str">
        <x:v>media-candidate-cambricon-5e05ef5887bb</x:v>
      </x:c>
      <x:c r="C228" s="19" t="str">
        <x:v>寒武纪</x:v>
      </x:c>
      <x:c r="D228" s="19" t="str">
        <x:v>权威媒体候选</x:v>
      </x:c>
      <x:c r="E228" s="19" t="str">
        <x:v>国产AI芯片加速突围，芯片ETF华夏（159995）盘中大涨3.25%，成分股芯原股份涨超15%</x:v>
      </x:c>
      <x:c r="F228" s="19"/>
      <x:c r="G228" s="19"/>
      <x:c r="H228" s="19"/>
      <x:c r="I228" s="19" t="str">
        <x:v>2026-04-30</x:v>
      </x:c>
      <x:c r="J228" s="19" t="str">
        <x:v>https://www.p5w.net/roll/zqzx/202604/t20260430_6468854.htm</x:v>
      </x:c>
      <x:c r="K228" s="19" t="str">
        <x:v>https://www.p5w.net/roll/zqzx/202604/t20260430_6468854.htm</x:v>
      </x:c>
      <x:c r="L228" s="19"/>
      <x:c r="M228" s="19"/>
      <x:c r="N228" s="19"/>
      <x:c r="O228" s="19" t="str">
        <x:v>candidate-only</x:v>
      </x:c>
      <x:c r="P228" s="33" t="b">
        <x:v>0</x:v>
      </x:c>
      <x:c r="Q228" s="19" t="n">
        <x:v>1</x:v>
      </x:c>
      <x:c r="R228" s="19" t="str">
        <x:v>conditional-local-file-unavailable</x:v>
      </x:c>
    </x:row>
    <x:row r="229" ht="15" hidden="0" customHeight="1">
      <x:c r="A229" s="19" t="str">
        <x:v>R01–R04审计</x:v>
      </x:c>
      <x:c r="B229" s="19" t="str">
        <x:v>media-candidate-cambricon-2e968a2178f0</x:v>
      </x:c>
      <x:c r="C229" s="19" t="str">
        <x:v>寒武纪</x:v>
      </x:c>
      <x:c r="D229" s="19" t="str">
        <x:v>权威媒体候选</x:v>
      </x:c>
      <x:c r="E229" s="19" t="str">
        <x:v>硬科技研发投入领航 上市公司“含科量”跃升</x:v>
      </x:c>
      <x:c r="F229" s="19"/>
      <x:c r="G229" s="19"/>
      <x:c r="H229" s="19"/>
      <x:c r="I229" s="19" t="str">
        <x:v>2026-04-30</x:v>
      </x:c>
      <x:c r="J229" s="19" t="str">
        <x:v>https://www.p5w.net/roll/stock/202604/t20260430_6468735.htm</x:v>
      </x:c>
      <x:c r="K229" s="19" t="str">
        <x:v>https://www.p5w.net/roll/stock/202604/t20260430_6468735.htm</x:v>
      </x:c>
      <x:c r="L229" s="19"/>
      <x:c r="M229" s="19"/>
      <x:c r="N229" s="19"/>
      <x:c r="O229" s="19" t="str">
        <x:v>candidate-only</x:v>
      </x:c>
      <x:c r="P229" s="33" t="b">
        <x:v>0</x:v>
      </x:c>
      <x:c r="Q229" s="19" t="n">
        <x:v>1</x:v>
      </x:c>
      <x:c r="R229" s="19" t="str">
        <x:v>conditional-local-file-unavailable</x:v>
      </x:c>
    </x:row>
    <x:row r="230" ht="15" hidden="0" customHeight="1">
      <x:c r="A230" s="19" t="str">
        <x:v>R01–R04审计</x:v>
      </x:c>
      <x:c r="B230" s="19" t="str">
        <x:v>media-candidate-cambricon-18a6254c94a3</x:v>
      </x:c>
      <x:c r="C230" s="19" t="str">
        <x:v>寒武纪</x:v>
      </x:c>
      <x:c r="D230" s="19" t="str">
        <x:v>权威媒体候选</x:v>
      </x:c>
      <x:c r="E230" s="19" t="str">
        <x:v>A股公司年报季报“交卷”：营收净利双增 分红回报提升</x:v>
      </x:c>
      <x:c r="F230" s="19"/>
      <x:c r="G230" s="19"/>
      <x:c r="H230" s="19"/>
      <x:c r="I230" s="19" t="str">
        <x:v>2026-04-30</x:v>
      </x:c>
      <x:c r="J230" s="19" t="str">
        <x:v>https://www.p5w.net/roll/stock/202604/t20260430_6468734.htm</x:v>
      </x:c>
      <x:c r="K230" s="19" t="str">
        <x:v>https://www.p5w.net/roll/stock/202604/t20260430_6468734.htm</x:v>
      </x:c>
      <x:c r="L230" s="19"/>
      <x:c r="M230" s="19"/>
      <x:c r="N230" s="19"/>
      <x:c r="O230" s="19" t="str">
        <x:v>candidate-only</x:v>
      </x:c>
      <x:c r="P230" s="33" t="b">
        <x:v>0</x:v>
      </x:c>
      <x:c r="Q230" s="19" t="n">
        <x:v>1</x:v>
      </x:c>
      <x:c r="R230" s="19" t="str">
        <x:v>conditional-local-file-unavailable</x:v>
      </x:c>
    </x:row>
    <x:row r="231" ht="15" hidden="0" customHeight="1">
      <x:c r="A231" s="19" t="str">
        <x:v>R01–R04审计</x:v>
      </x:c>
      <x:c r="B231" s="19" t="str">
        <x:v>media-candidate-cambricon-0355ad98abb8</x:v>
      </x:c>
      <x:c r="C231" s="19" t="str">
        <x:v>寒武纪</x:v>
      </x:c>
      <x:c r="D231" s="19" t="str">
        <x:v>权威媒体候选</x:v>
      </x:c>
      <x:c r="E231" s="19" t="str">
        <x:v>先进封装迎来多点共振，科创半导体ETF华夏（588170）翻红！</x:v>
      </x:c>
      <x:c r="F231" s="19"/>
      <x:c r="G231" s="19"/>
      <x:c r="H231" s="19"/>
      <x:c r="I231" s="19" t="str">
        <x:v>2026-04-29</x:v>
      </x:c>
      <x:c r="J231" s="19" t="str">
        <x:v>https://www.p5w.net/roll/zqzx/202604/t20260429_6467048.htm</x:v>
      </x:c>
      <x:c r="K231" s="19" t="str">
        <x:v>https://www.p5w.net/roll/zqzx/202604/t20260429_6467048.htm</x:v>
      </x:c>
      <x:c r="L231" s="19"/>
      <x:c r="M231" s="19"/>
      <x:c r="N231" s="19"/>
      <x:c r="O231" s="19" t="str">
        <x:v>candidate-only</x:v>
      </x:c>
      <x:c r="P231" s="33" t="b">
        <x:v>0</x:v>
      </x:c>
      <x:c r="Q231" s="19" t="n">
        <x:v>1</x:v>
      </x:c>
      <x:c r="R231" s="19" t="str">
        <x:v>conditional-local-file-unavailable</x:v>
      </x:c>
    </x:row>
    <x:row r="232" ht="15" hidden="0" customHeight="1">
      <x:c r="A232" s="19" t="str">
        <x:v>R01–R04审计</x:v>
      </x:c>
      <x:c r="B232" s="19" t="str">
        <x:v>media-candidate-cambricon-0d2f983607b4</x:v>
      </x:c>
      <x:c r="C232" s="19" t="str">
        <x:v>寒武纪</x:v>
      </x:c>
      <x:c r="D232" s="19" t="str">
        <x:v>权威媒体候选</x:v>
      </x:c>
      <x:c r="E232" s="19" t="str">
        <x:v>摩尔线程，夯爆了……</x:v>
      </x:c>
      <x:c r="F232" s="19"/>
      <x:c r="G232" s="19"/>
      <x:c r="H232" s="19"/>
      <x:c r="I232" s="19" t="str">
        <x:v>2026-04-27</x:v>
      </x:c>
      <x:c r="J232" s="19" t="str">
        <x:v>https://www.p5w.net/roll/pcj/202604/t20260427_6462360.htm</x:v>
      </x:c>
      <x:c r="K232" s="19" t="str">
        <x:v>https://www.p5w.net/roll/pcj/202604/t20260427_6462360.htm</x:v>
      </x:c>
      <x:c r="L232" s="19"/>
      <x:c r="M232" s="19"/>
      <x:c r="N232" s="19"/>
      <x:c r="O232" s="19" t="str">
        <x:v>candidate-only</x:v>
      </x:c>
      <x:c r="P232" s="33" t="b">
        <x:v>0</x:v>
      </x:c>
      <x:c r="Q232" s="19" t="n">
        <x:v>1</x:v>
      </x:c>
      <x:c r="R232" s="19" t="str">
        <x:v>conditional-local-file-unavailable</x:v>
      </x:c>
    </x:row>
    <x:row r="233" ht="32.400001525878906" hidden="0" customHeight="1">
      <x:c r="A233" s="19" t="str">
        <x:v>R01–R04审计</x:v>
      </x:c>
      <x:c r="B233" s="19" t="str">
        <x:v>media-candidate-cambricon-f15e4d39fa5d</x:v>
      </x:c>
      <x:c r="C233" s="19" t="str">
        <x:v>寒武纪</x:v>
      </x:c>
      <x:c r="D233" s="19" t="str">
        <x:v>权威媒体候选</x:v>
      </x:c>
      <x:c r="E233" s="19" t="str">
        <x:v>DeepSeek V4迈向“高阶任务”需求，国产AI产业链闭环加速，人工智能ETF易方达（159819）配置逻辑强化</x:v>
      </x:c>
      <x:c r="F233" s="19"/>
      <x:c r="G233" s="19"/>
      <x:c r="H233" s="19"/>
      <x:c r="I233" s="19" t="str">
        <x:v>2026-04-24</x:v>
      </x:c>
      <x:c r="J233" s="19" t="str">
        <x:v>https://www.p5w.net/roll/zqzx/202604/t20260424_6459571.htm</x:v>
      </x:c>
      <x:c r="K233" s="19" t="str">
        <x:v>https://www.p5w.net/roll/zqzx/202604/t20260424_6459571.htm</x:v>
      </x:c>
      <x:c r="L233" s="19"/>
      <x:c r="M233" s="19"/>
      <x:c r="N233" s="19"/>
      <x:c r="O233" s="19" t="str">
        <x:v>candidate-only</x:v>
      </x:c>
      <x:c r="P233" s="33" t="b">
        <x:v>0</x:v>
      </x:c>
      <x:c r="Q233" s="19" t="n">
        <x:v>1</x:v>
      </x:c>
      <x:c r="R233" s="19" t="str">
        <x:v>conditional-local-file-unavailable</x:v>
      </x:c>
    </x:row>
    <x:row r="234" ht="21.600000381469727" hidden="0" customHeight="1">
      <x:c r="A234" s="19" t="str">
        <x:v>R01–R04审计</x:v>
      </x:c>
      <x:c r="B234" s="19" t="str">
        <x:v>media-candidate-cambricon-1c0de8893a93</x:v>
      </x:c>
      <x:c r="C234" s="19" t="str">
        <x:v>寒武纪</x:v>
      </x:c>
      <x:c r="D234" s="19" t="str">
        <x:v>权威媒体候选</x:v>
      </x:c>
      <x:c r="E234" s="19" t="str">
        <x:v>DeepSeek-V4正式上线并深度适配国产芯片，科创芯片ETF易方达（589130）标的指数涨超2%</x:v>
      </x:c>
      <x:c r="F234" s="19"/>
      <x:c r="G234" s="19"/>
      <x:c r="H234" s="19"/>
      <x:c r="I234" s="19" t="str">
        <x:v>2026-04-24</x:v>
      </x:c>
      <x:c r="J234" s="19" t="str">
        <x:v>https://www.p5w.net/roll/zqzx/202604/t20260424_6459570.htm</x:v>
      </x:c>
      <x:c r="K234" s="19" t="str">
        <x:v>https://www.p5w.net/roll/zqzx/202604/t20260424_6459570.htm</x:v>
      </x:c>
      <x:c r="L234" s="19"/>
      <x:c r="M234" s="19"/>
      <x:c r="N234" s="19"/>
      <x:c r="O234" s="19" t="str">
        <x:v>candidate-only</x:v>
      </x:c>
      <x:c r="P234" s="33" t="b">
        <x:v>0</x:v>
      </x:c>
      <x:c r="Q234" s="19" t="n">
        <x:v>1</x:v>
      </x:c>
      <x:c r="R234" s="19" t="str">
        <x:v>conditional-local-file-unavailable</x:v>
      </x:c>
    </x:row>
    <x:row r="235" ht="15" hidden="0" customHeight="1">
      <x:c r="A235" s="19" t="str">
        <x:v>R01–R04审计</x:v>
      </x:c>
      <x:c r="B235" s="19" t="str">
        <x:v>media-candidate-cambricon-4030625de7b3</x:v>
      </x:c>
      <x:c r="C235" s="19" t="str">
        <x:v>寒武纪</x:v>
      </x:c>
      <x:c r="D235" s="19" t="str">
        <x:v>权威媒体候选</x:v>
      </x:c>
      <x:c r="E235" s="19" t="str">
        <x:v>国产大模型能力持续提升，数字经济ETF鹏扬（560800）涨1.94%</x:v>
      </x:c>
      <x:c r="F235" s="19"/>
      <x:c r="G235" s="19"/>
      <x:c r="H235" s="19"/>
      <x:c r="I235" s="19" t="str">
        <x:v>2026-04-24</x:v>
      </x:c>
      <x:c r="J235" s="19" t="str">
        <x:v>https://www.p5w.net/roll/zqzx/202604/t20260424_6459542.htm</x:v>
      </x:c>
      <x:c r="K235" s="19" t="str">
        <x:v>https://www.p5w.net/roll/zqzx/202604/t20260424_6459542.htm</x:v>
      </x:c>
      <x:c r="L235" s="19"/>
      <x:c r="M235" s="19"/>
      <x:c r="N235" s="19"/>
      <x:c r="O235" s="19" t="str">
        <x:v>candidate-only</x:v>
      </x:c>
      <x:c r="P235" s="33" t="b">
        <x:v>0</x:v>
      </x:c>
      <x:c r="Q235" s="19" t="n">
        <x:v>1</x:v>
      </x:c>
      <x:c r="R235" s="19" t="str">
        <x:v>conditional-local-file-unavailable</x:v>
      </x:c>
    </x:row>
    <x:row r="236" ht="15" hidden="0" customHeight="1">
      <x:c r="A236" s="19" t="str">
        <x:v>R01–R04审计</x:v>
      </x:c>
      <x:c r="B236" s="19" t="str">
        <x:v>media-candidate-cambricon-e5e9af7d304e</x:v>
      </x:c>
      <x:c r="C236" s="19" t="str">
        <x:v>寒武纪</x:v>
      </x:c>
      <x:c r="D236" s="19" t="str">
        <x:v>权威媒体候选</x:v>
      </x:c>
      <x:c r="E236" s="19" t="str">
        <x:v>中际旭创蝉联公募头号重仓股 科技板块优胜劣汰加速</x:v>
      </x:c>
      <x:c r="F236" s="19"/>
      <x:c r="G236" s="19"/>
      <x:c r="H236" s="19"/>
      <x:c r="I236" s="19" t="str">
        <x:v>2026-04-23</x:v>
      </x:c>
      <x:c r="J236" s="19" t="str">
        <x:v>https://www.p5w.net/roll/stock/202604/t20260423_6457802.htm</x:v>
      </x:c>
      <x:c r="K236" s="19" t="str">
        <x:v>https://www.p5w.net/roll/stock/202604/t20260423_6457802.htm</x:v>
      </x:c>
      <x:c r="L236" s="19"/>
      <x:c r="M236" s="19"/>
      <x:c r="N236" s="19"/>
      <x:c r="O236" s="19" t="str">
        <x:v>candidate-only</x:v>
      </x:c>
      <x:c r="P236" s="33" t="b">
        <x:v>0</x:v>
      </x:c>
      <x:c r="Q236" s="19" t="n">
        <x:v>1</x:v>
      </x:c>
      <x:c r="R236" s="19" t="str">
        <x:v>conditional-local-file-unavailable</x:v>
      </x:c>
    </x:row>
    <x:row r="237" ht="15" hidden="0" customHeight="1">
      <x:c r="A237" s="19" t="str">
        <x:v>R01–R04审计</x:v>
      </x:c>
      <x:c r="B237" s="19" t="str">
        <x:v>media-candidate-cambricon-8cfcd8ad195e</x:v>
      </x:c>
      <x:c r="C237" s="19" t="str">
        <x:v>寒武纪</x:v>
      </x:c>
      <x:c r="D237" s="19" t="str">
        <x:v>权威媒体候选</x:v>
      </x:c>
      <x:c r="E237" s="19" t="str">
        <x:v>15家科创板公司长成千亿市值大个头 “科特估”重塑硬科技价值</x:v>
      </x:c>
      <x:c r="F237" s="19"/>
      <x:c r="G237" s="19"/>
      <x:c r="H237" s="19"/>
      <x:c r="I237" s="19" t="str">
        <x:v>2026-04-23</x:v>
      </x:c>
      <x:c r="J237" s="19" t="str">
        <x:v>https://www.p5w.net/roll/stock/202604/t20260423_6457781.htm</x:v>
      </x:c>
      <x:c r="K237" s="19" t="str">
        <x:v>https://www.p5w.net/roll/stock/202604/t20260423_6457781.htm</x:v>
      </x:c>
      <x:c r="L237" s="19"/>
      <x:c r="M237" s="19"/>
      <x:c r="N237" s="19"/>
      <x:c r="O237" s="19" t="str">
        <x:v>candidate-only</x:v>
      </x:c>
      <x:c r="P237" s="33" t="b">
        <x:v>0</x:v>
      </x:c>
      <x:c r="Q237" s="19" t="n">
        <x:v>1</x:v>
      </x:c>
      <x:c r="R237" s="19" t="str">
        <x:v>conditional-local-file-unavailable</x:v>
      </x:c>
    </x:row>
    <x:row r="238" ht="21.600000381469727" hidden="0" customHeight="1">
      <x:c r="A238" s="19" t="str">
        <x:v>R01–R04审计</x:v>
      </x:c>
      <x:c r="B238" s="19" t="str">
        <x:v>media-candidate-cambricon-869f17145666</x:v>
      </x:c>
      <x:c r="C238" s="19" t="str">
        <x:v>寒武纪</x:v>
      </x:c>
      <x:c r="D238" s="19" t="str">
        <x:v>权威媒体候选</x:v>
      </x:c>
      <x:c r="E238" s="19" t="str">
        <x:v>兴业基金：分析师预期因子加持，科技成长ETF兴业（563560）成功捕获光通信和国产算力两大科技主线</x:v>
      </x:c>
      <x:c r="F238" s="19"/>
      <x:c r="G238" s="19"/>
      <x:c r="H238" s="19"/>
      <x:c r="I238" s="19" t="str">
        <x:v>2026-04-22</x:v>
      </x:c>
      <x:c r="J238" s="19" t="str">
        <x:v>https://www.p5w.net/roll/zqzx/202604/t20260422_6456645.htm</x:v>
      </x:c>
      <x:c r="K238" s="19" t="str">
        <x:v>https://www.p5w.net/roll/zqzx/202604/t20260422_6456645.htm</x:v>
      </x:c>
      <x:c r="L238" s="19"/>
      <x:c r="M238" s="19"/>
      <x:c r="N238" s="19"/>
      <x:c r="O238" s="19" t="str">
        <x:v>candidate-only</x:v>
      </x:c>
      <x:c r="P238" s="33" t="b">
        <x:v>0</x:v>
      </x:c>
      <x:c r="Q238" s="19" t="n">
        <x:v>1</x:v>
      </x:c>
      <x:c r="R238" s="19" t="str">
        <x:v>conditional-local-file-unavailable</x:v>
      </x:c>
    </x:row>
    <x:row r="239" ht="15" hidden="0" customHeight="1">
      <x:c r="A239" s="19" t="str">
        <x:v>R01–R04审计</x:v>
      </x:c>
      <x:c r="B239" s="19" t="str">
        <x:v>media-candidate-cambricon-03d5ffd77957</x:v>
      </x:c>
      <x:c r="C239" s="19" t="str">
        <x:v>寒武纪</x:v>
      </x:c>
      <x:c r="D239" s="19" t="str">
        <x:v>权威媒体候选</x:v>
      </x:c>
      <x:c r="E239" s="19" t="str">
        <x:v>易方达人工智能ETF：人形机器人赛道爆发，AI硬件迎价值重估</x:v>
      </x:c>
      <x:c r="F239" s="19"/>
      <x:c r="G239" s="19"/>
      <x:c r="H239" s="19"/>
      <x:c r="I239" s="19" t="str">
        <x:v>2026-04-20</x:v>
      </x:c>
      <x:c r="J239" s="19" t="str">
        <x:v>https://www.p5w.net/roll/pcj/202604/t20260420_6454948.htm</x:v>
      </x:c>
      <x:c r="K239" s="19" t="str">
        <x:v>https://www.p5w.net/roll/pcj/202604/t20260420_6454948.htm</x:v>
      </x:c>
      <x:c r="L239" s="19"/>
      <x:c r="M239" s="19"/>
      <x:c r="N239" s="19"/>
      <x:c r="O239" s="19" t="str">
        <x:v>candidate-only</x:v>
      </x:c>
      <x:c r="P239" s="33" t="b">
        <x:v>0</x:v>
      </x:c>
      <x:c r="Q239" s="19" t="n">
        <x:v>1</x:v>
      </x:c>
      <x:c r="R239" s="19" t="str">
        <x:v>conditional-local-file-unavailable</x:v>
      </x:c>
    </x:row>
    <x:row r="240" ht="21.600000381469727" hidden="0" customHeight="1">
      <x:c r="A240" s="19" t="str">
        <x:v>R01–R04审计</x:v>
      </x:c>
      <x:c r="B240" s="19" t="str">
        <x:v>media-candidate-cambricon-03050d53b9eb</x:v>
      </x:c>
      <x:c r="C240" s="19" t="str">
        <x:v>寒武纪</x:v>
      </x:c>
      <x:c r="D240" s="19" t="str">
        <x:v>权威媒体候选</x:v>
      </x:c>
      <x:c r="E240" s="19" t="str">
        <x:v>政策文件首提“词元交易”，关注同类规模第一的人工智能ETF易方达（159819）投资机会</x:v>
      </x:c>
      <x:c r="F240" s="19"/>
      <x:c r="G240" s="19"/>
      <x:c r="H240" s="19"/>
      <x:c r="I240" s="19" t="str">
        <x:v>2026-04-20</x:v>
      </x:c>
      <x:c r="J240" s="19" t="str">
        <x:v>https://www.p5w.net/roll/zqzx/202604/t20260420_6454876.htm</x:v>
      </x:c>
      <x:c r="K240" s="19" t="str">
        <x:v>https://www.p5w.net/roll/zqzx/202604/t20260420_6454876.htm</x:v>
      </x:c>
      <x:c r="L240" s="19"/>
      <x:c r="M240" s="19"/>
      <x:c r="N240" s="19"/>
      <x:c r="O240" s="19" t="str">
        <x:v>candidate-only</x:v>
      </x:c>
      <x:c r="P240" s="33" t="b">
        <x:v>0</x:v>
      </x:c>
      <x:c r="Q240" s="19" t="n">
        <x:v>1</x:v>
      </x:c>
      <x:c r="R240" s="19" t="str">
        <x:v>conditional-local-file-unavailable</x:v>
      </x:c>
    </x:row>
    <x:row r="241" ht="15" hidden="0" customHeight="1">
      <x:c r="A241" s="19" t="str">
        <x:v>R01–R04审计</x:v>
      </x:c>
      <x:c r="B241" s="19" t="str">
        <x:v>media-candidate-cambricon-446f4dee77e6</x:v>
      </x:c>
      <x:c r="C241" s="19" t="str">
        <x:v>寒武纪</x:v>
      </x:c>
      <x:c r="D241" s="19" t="str">
        <x:v>权威媒体候选</x:v>
      </x:c>
      <x:c r="E241" s="19" t="str">
        <x:v>易方达人工智能ETF：龙头业绩引爆CPO行情</x:v>
      </x:c>
      <x:c r="F241" s="19"/>
      <x:c r="G241" s="19"/>
      <x:c r="H241" s="19"/>
      <x:c r="I241" s="19" t="str">
        <x:v>2026-04-17</x:v>
      </x:c>
      <x:c r="J241" s="19" t="str">
        <x:v>https://www.p5w.net/roll/pcj/202604/t20260417_6453852.htm</x:v>
      </x:c>
      <x:c r="K241" s="19" t="str">
        <x:v>https://www.p5w.net/roll/pcj/202604/t20260417_6453852.htm</x:v>
      </x:c>
      <x:c r="L241" s="19"/>
      <x:c r="M241" s="19"/>
      <x:c r="N241" s="19"/>
      <x:c r="O241" s="19" t="str">
        <x:v>candidate-only</x:v>
      </x:c>
      <x:c r="P241" s="33" t="b">
        <x:v>0</x:v>
      </x:c>
      <x:c r="Q241" s="19" t="n">
        <x:v>1</x:v>
      </x:c>
      <x:c r="R241" s="19" t="str">
        <x:v>conditional-local-file-unavailable</x:v>
      </x:c>
    </x:row>
    <x:row r="242" ht="15" hidden="0" customHeight="1">
      <x:c r="A242" s="19" t="str">
        <x:v>R01–R04审计</x:v>
      </x:c>
      <x:c r="B242" s="19" t="str">
        <x:v>media-candidate-cambricon-a98d14808fc8</x:v>
      </x:c>
      <x:c r="C242" s="19" t="str">
        <x:v>寒武纪</x:v>
      </x:c>
      <x:c r="D242" s="19" t="str">
        <x:v>权威媒体候选</x:v>
      </x:c>
      <x:c r="E242" s="19" t="str">
        <x:v>AI“超级周期”带动业绩兑现潮 69家半导体公司去年营收增逾两成</x:v>
      </x:c>
      <x:c r="F242" s="19"/>
      <x:c r="G242" s="19"/>
      <x:c r="H242" s="19"/>
      <x:c r="I242" s="19" t="str">
        <x:v>2026-04-17</x:v>
      </x:c>
      <x:c r="J242" s="19" t="str">
        <x:v>https://www.p5w.net/roll/company/202604/t20260417_6453730.htm</x:v>
      </x:c>
      <x:c r="K242" s="19" t="str">
        <x:v>https://www.p5w.net/roll/company/202604/t20260417_6453730.htm</x:v>
      </x:c>
      <x:c r="L242" s="19"/>
      <x:c r="M242" s="19"/>
      <x:c r="N242" s="19"/>
      <x:c r="O242" s="19" t="str">
        <x:v>candidate-only</x:v>
      </x:c>
      <x:c r="P242" s="33" t="b">
        <x:v>0</x:v>
      </x:c>
      <x:c r="Q242" s="19" t="n">
        <x:v>1</x:v>
      </x:c>
      <x:c r="R242" s="19" t="str">
        <x:v>conditional-local-file-unavailable</x:v>
      </x:c>
    </x:row>
    <x:row r="243" ht="15" hidden="0" customHeight="1">
      <x:c r="A243" s="19" t="str">
        <x:v>R01–R04审计</x:v>
      </x:c>
      <x:c r="B243" s="19" t="str">
        <x:v>media-candidate-cambricon-be82ec1fdb4d</x:v>
      </x:c>
      <x:c r="C243" s="19" t="str">
        <x:v>寒武纪</x:v>
      </x:c>
      <x:c r="D243" s="19" t="str">
        <x:v>权威媒体候选</x:v>
      </x:c>
      <x:c r="E243" s="19" t="str">
        <x:v>半导体板块强势反弹，这四只ETF怎么选？</x:v>
      </x:c>
      <x:c r="F243" s="19"/>
      <x:c r="G243" s="19"/>
      <x:c r="H243" s="19"/>
      <x:c r="I243" s="19" t="str">
        <x:v>2026-04-16</x:v>
      </x:c>
      <x:c r="J243" s="19" t="str">
        <x:v>https://www.p5w.net/roll/zqzx/202604/t20260416_6453377.htm</x:v>
      </x:c>
      <x:c r="K243" s="19" t="str">
        <x:v>https://www.p5w.net/roll/zqzx/202604/t20260416_6453377.htm</x:v>
      </x:c>
      <x:c r="L243" s="19"/>
      <x:c r="M243" s="19"/>
      <x:c r="N243" s="19"/>
      <x:c r="O243" s="19" t="str">
        <x:v>candidate-only</x:v>
      </x:c>
      <x:c r="P243" s="33" t="b">
        <x:v>0</x:v>
      </x:c>
      <x:c r="Q243" s="19" t="n">
        <x:v>1</x:v>
      </x:c>
      <x:c r="R243" s="19" t="str">
        <x:v>conditional-local-file-unavailable</x:v>
      </x:c>
    </x:row>
    <x:row r="244" ht="15" hidden="0" customHeight="1">
      <x:c r="A244" s="19" t="str">
        <x:v>R01–R04审计</x:v>
      </x:c>
      <x:c r="B244" s="19" t="str">
        <x:v>media-candidate-cambricon-f420ef53918a</x:v>
      </x:c>
      <x:c r="C244" s="19" t="str">
        <x:v>寒武纪</x:v>
      </x:c>
      <x:c r="D244" s="19" t="str">
        <x:v>权威媒体候选</x:v>
      </x:c>
      <x:c r="E244" s="19" t="str">
        <x:v>半导体领衔反弹潮，这四只ETF怎么选？</x:v>
      </x:c>
      <x:c r="F244" s="19"/>
      <x:c r="G244" s="19"/>
      <x:c r="H244" s="19"/>
      <x:c r="I244" s="19" t="str">
        <x:v>2026-04-16</x:v>
      </x:c>
      <x:c r="J244" s="19" t="str">
        <x:v>https://www.p5w.net/roll/zqzx/202604/t20260416_6453373.htm</x:v>
      </x:c>
      <x:c r="K244" s="19" t="str">
        <x:v>https://www.p5w.net/roll/zqzx/202604/t20260416_6453373.htm</x:v>
      </x:c>
      <x:c r="L244" s="19"/>
      <x:c r="M244" s="19"/>
      <x:c r="N244" s="19"/>
      <x:c r="O244" s="19" t="str">
        <x:v>candidate-only</x:v>
      </x:c>
      <x:c r="P244" s="33" t="b">
        <x:v>0</x:v>
      </x:c>
      <x:c r="Q244" s="19" t="n">
        <x:v>1</x:v>
      </x:c>
      <x:c r="R244" s="19" t="str">
        <x:v>conditional-local-file-unavailable</x:v>
      </x:c>
    </x:row>
    <x:row r="245" ht="15" hidden="0" customHeight="1">
      <x:c r="A245" s="19" t="str">
        <x:v>R01–R04审计</x:v>
      </x:c>
      <x:c r="B245" s="19" t="str">
        <x:v>media-candidate-cambricon-dfe0811d70a5</x:v>
      </x:c>
      <x:c r="C245" s="19" t="str">
        <x:v>寒武纪</x:v>
      </x:c>
      <x:c r="D245" s="19" t="str">
        <x:v>权威媒体候选</x:v>
      </x:c>
      <x:c r="E245" s="19" t="str">
        <x:v>人工智能板块早盘持续上行，科创创业50ETF鹏扬（588350）涨1.23%</x:v>
      </x:c>
      <x:c r="F245" s="19"/>
      <x:c r="G245" s="19"/>
      <x:c r="H245" s="19"/>
      <x:c r="I245" s="19" t="str">
        <x:v>2026-04-16</x:v>
      </x:c>
      <x:c r="J245" s="19" t="str">
        <x:v>https://www.p5w.net/roll/zqzx/202604/t20260416_6453332.htm</x:v>
      </x:c>
      <x:c r="K245" s="19" t="str">
        <x:v>https://www.p5w.net/roll/zqzx/202604/t20260416_6453332.htm</x:v>
      </x:c>
      <x:c r="L245" s="19"/>
      <x:c r="M245" s="19"/>
      <x:c r="N245" s="19"/>
      <x:c r="O245" s="19" t="str">
        <x:v>candidate-only</x:v>
      </x:c>
      <x:c r="P245" s="33" t="b">
        <x:v>0</x:v>
      </x:c>
      <x:c r="Q245" s="19" t="n">
        <x:v>1</x:v>
      </x:c>
      <x:c r="R245" s="19" t="str">
        <x:v>conditional-local-file-unavailable</x:v>
      </x:c>
    </x:row>
    <x:row r="246" ht="15" hidden="0" customHeight="1">
      <x:c r="A246" s="19" t="str">
        <x:v>R01–R04审计</x:v>
      </x:c>
      <x:c r="B246" s="19" t="str">
        <x:v>media-candidate-cambricon-25dec44d46f1</x:v>
      </x:c>
      <x:c r="C246" s="19" t="str">
        <x:v>寒武纪</x:v>
      </x:c>
      <x:c r="D246" s="19" t="str">
        <x:v>权威媒体候选</x:v>
      </x:c>
      <x:c r="E246" s="19" t="str">
        <x:v>AI与机器人盘前速递丨千问AI眼镜S1正式开售，人形机器人半马将于4月19日开跑</x:v>
      </x:c>
      <x:c r="F246" s="19"/>
      <x:c r="G246" s="19"/>
      <x:c r="H246" s="19"/>
      <x:c r="I246" s="19" t="str">
        <x:v>2026-04-16</x:v>
      </x:c>
      <x:c r="J246" s="19" t="str">
        <x:v>https://www.p5w.net/roll/zqzx/202604/t20260416_6453310.htm</x:v>
      </x:c>
      <x:c r="K246" s="19" t="str">
        <x:v>https://www.p5w.net/roll/zqzx/202604/t20260416_6453310.htm</x:v>
      </x:c>
      <x:c r="L246" s="19"/>
      <x:c r="M246" s="19"/>
      <x:c r="N246" s="19"/>
      <x:c r="O246" s="19" t="str">
        <x:v>candidate-only</x:v>
      </x:c>
      <x:c r="P246" s="33" t="b">
        <x:v>0</x:v>
      </x:c>
      <x:c r="Q246" s="19" t="n">
        <x:v>1</x:v>
      </x:c>
      <x:c r="R246" s="19" t="str">
        <x:v>conditional-local-file-unavailable</x:v>
      </x:c>
    </x:row>
    <x:row r="247" ht="15" hidden="0" customHeight="1">
      <x:c r="A247" s="19" t="str">
        <x:v>R01–R04审计</x:v>
      </x:c>
      <x:c r="B247" s="19" t="str">
        <x:v>media-candidate-cambricon-dda4a8091e7f</x:v>
      </x:c>
      <x:c r="C247" s="19" t="str">
        <x:v>寒武纪</x:v>
      </x:c>
      <x:c r="D247" s="19" t="str">
        <x:v>权威媒体候选</x:v>
      </x:c>
      <x:c r="E247" s="19" t="str">
        <x:v>“创投老兵”陈玮20年实战经验复盘： “以前赚非共识的钱，现在要赚共识的钱”</x:v>
      </x:c>
      <x:c r="F247" s="19"/>
      <x:c r="G247" s="19"/>
      <x:c r="H247" s="19"/>
      <x:c r="I247" s="19" t="str">
        <x:v>2026-04-16</x:v>
      </x:c>
      <x:c r="J247" s="19" t="str">
        <x:v>https://www.p5w.net/roll/stock/202604/t20260416_6453244.htm</x:v>
      </x:c>
      <x:c r="K247" s="19" t="str">
        <x:v>https://www.p5w.net/roll/stock/202604/t20260416_6453244.htm</x:v>
      </x:c>
      <x:c r="L247" s="19"/>
      <x:c r="M247" s="19"/>
      <x:c r="N247" s="19"/>
      <x:c r="O247" s="19" t="str">
        <x:v>candidate-only</x:v>
      </x:c>
      <x:c r="P247" s="33" t="b">
        <x:v>0</x:v>
      </x:c>
      <x:c r="Q247" s="19" t="n">
        <x:v>1</x:v>
      </x:c>
      <x:c r="R247" s="19" t="str">
        <x:v>conditional-local-file-unavailable</x:v>
      </x:c>
    </x:row>
    <x:row r="248" ht="21.600000381469727" hidden="0" customHeight="1">
      <x:c r="A248" s="19" t="str">
        <x:v>R01–R04审计</x:v>
      </x:c>
      <x:c r="B248" s="19" t="str">
        <x:v>media-candidate-cambricon-a4d55dd0ede7</x:v>
      </x:c>
      <x:c r="C248" s="19" t="str">
        <x:v>寒武纪</x:v>
      </x:c>
      <x:c r="D248" s="19" t="str">
        <x:v>权威媒体候选</x:v>
      </x:c>
      <x:c r="E248" s="19" t="str">
        <x:v>AI产业链加速闭环，算力股集体走强，科创创业人工智能ETF易方达（159140）标的指数涨近4%</x:v>
      </x:c>
      <x:c r="F248" s="19"/>
      <x:c r="G248" s="19"/>
      <x:c r="H248" s="19"/>
      <x:c r="I248" s="19" t="str">
        <x:v>2026-04-14</x:v>
      </x:c>
      <x:c r="J248" s="19" t="str">
        <x:v>https://www.p5w.net/roll/zqzx/202604/t20260414_6452303.htm</x:v>
      </x:c>
      <x:c r="K248" s="19" t="str">
        <x:v>https://www.p5w.net/roll/zqzx/202604/t20260414_6452303.htm</x:v>
      </x:c>
      <x:c r="L248" s="19"/>
      <x:c r="M248" s="19"/>
      <x:c r="N248" s="19"/>
      <x:c r="O248" s="19" t="str">
        <x:v>candidate-only</x:v>
      </x:c>
      <x:c r="P248" s="33" t="b">
        <x:v>0</x:v>
      </x:c>
      <x:c r="Q248" s="19" t="n">
        <x:v>1</x:v>
      </x:c>
      <x:c r="R248" s="19" t="str">
        <x:v>conditional-local-file-unavailable</x:v>
      </x:c>
    </x:row>
    <x:row r="249" ht="21.600000381469727" hidden="0" customHeight="1">
      <x:c r="A249" s="19" t="str">
        <x:v>R01–R04审计</x:v>
      </x:c>
      <x:c r="B249" s="19" t="str">
        <x:v>media-candidate-cambricon-e14999f0e01b</x:v>
      </x:c>
      <x:c r="C249" s="19" t="str">
        <x:v>寒武纪</x:v>
      </x:c>
      <x:c r="D249" s="19" t="str">
        <x:v>权威媒体候选</x:v>
      </x:c>
      <x:c r="E249" s="19" t="str">
        <x:v>“芯”引擎带动科创板上攻，科创成长ETF易方达（588020）、科创50ETF易方达（588080）标的指数低开高走</x:v>
      </x:c>
      <x:c r="F249" s="19"/>
      <x:c r="G249" s="19"/>
      <x:c r="H249" s="19"/>
      <x:c r="I249" s="19" t="str">
        <x:v>2026-04-13</x:v>
      </x:c>
      <x:c r="J249" s="19" t="str">
        <x:v>https://www.p5w.net/roll/zqzx/202604/t20260414_6452285.htm</x:v>
      </x:c>
      <x:c r="K249" s="19" t="str">
        <x:v>https://www.p5w.net/roll/zqzx/202604/t20260414_6452285.htm</x:v>
      </x:c>
      <x:c r="L249" s="19"/>
      <x:c r="M249" s="19"/>
      <x:c r="N249" s="19"/>
      <x:c r="O249" s="19" t="str">
        <x:v>candidate-only</x:v>
      </x:c>
      <x:c r="P249" s="33" t="b">
        <x:v>0</x:v>
      </x:c>
      <x:c r="Q249" s="19" t="n">
        <x:v>1</x:v>
      </x:c>
      <x:c r="R249" s="19" t="str">
        <x:v>conditional-local-file-unavailable</x:v>
      </x:c>
    </x:row>
    <x:row r="250" ht="15" hidden="0" customHeight="1">
      <x:c r="A250" s="19" t="str">
        <x:v>R01–R04审计</x:v>
      </x:c>
      <x:c r="B250" s="19" t="str">
        <x:v>media-candidate-cambricon-449f8e1a8d54</x:v>
      </x:c>
      <x:c r="C250" s="19" t="str">
        <x:v>寒武纪</x:v>
      </x:c>
      <x:c r="D250" s="19" t="str">
        <x:v>权威媒体候选</x:v>
      </x:c>
      <x:c r="E250" s="19" t="str">
        <x:v>半年EBITDA转正，中金维持“跑赢行业”评级，商汤股价涨近9%</x:v>
      </x:c>
      <x:c r="F250" s="19"/>
      <x:c r="G250" s="19"/>
      <x:c r="H250" s="19"/>
      <x:c r="I250" s="19" t="str">
        <x:v>2026-04-08</x:v>
      </x:c>
      <x:c r="J250" s="19" t="str">
        <x:v>https://www.p5w.net/roll/lanjinger/202604/t20260408_6450816.htm</x:v>
      </x:c>
      <x:c r="K250" s="19" t="str">
        <x:v>https://www.p5w.net/roll/lanjinger/202604/t20260408_6450816.htm</x:v>
      </x:c>
      <x:c r="L250" s="19"/>
      <x:c r="M250" s="19"/>
      <x:c r="N250" s="19"/>
      <x:c r="O250" s="19" t="str">
        <x:v>candidate-only</x:v>
      </x:c>
      <x:c r="P250" s="33" t="b">
        <x:v>0</x:v>
      </x:c>
      <x:c r="Q250" s="19" t="n">
        <x:v>1</x:v>
      </x:c>
      <x:c r="R250" s="19" t="str">
        <x:v>conditional-local-file-unavailable</x:v>
      </x:c>
    </x:row>
    <x:row r="251" ht="15" hidden="0" customHeight="1">
      <x:c r="A251" s="19" t="str">
        <x:v>R01–R04审计</x:v>
      </x:c>
      <x:c r="B251" s="19" t="str">
        <x:v>media-candidate-cambricon-2972554c460f</x:v>
      </x:c>
      <x:c r="C251" s="19" t="str">
        <x:v>寒武纪</x:v>
      </x:c>
      <x:c r="D251" s="19" t="str">
        <x:v>权威媒体候选</x:v>
      </x:c>
      <x:c r="E251" s="19" t="str">
        <x:v>半导体板块走强，科创50指数涨1.4%，科创50ETF易方达（588080）受市场关注</x:v>
      </x:c>
      <x:c r="F251" s="19"/>
      <x:c r="G251" s="19"/>
      <x:c r="H251" s="19"/>
      <x:c r="I251" s="19" t="str">
        <x:v>2026-04-07</x:v>
      </x:c>
      <x:c r="J251" s="19" t="str">
        <x:v>https://www.p5w.net/roll/zqzx/202604/t20260407_6450659.htm</x:v>
      </x:c>
      <x:c r="K251" s="19" t="str">
        <x:v>https://www.p5w.net/roll/zqzx/202604/t20260407_6450659.htm</x:v>
      </x:c>
      <x:c r="L251" s="19"/>
      <x:c r="M251" s="19"/>
      <x:c r="N251" s="19"/>
      <x:c r="O251" s="19" t="str">
        <x:v>candidate-only</x:v>
      </x:c>
      <x:c r="P251" s="33" t="b">
        <x:v>0</x:v>
      </x:c>
      <x:c r="Q251" s="19" t="n">
        <x:v>1</x:v>
      </x:c>
      <x:c r="R251" s="19" t="str">
        <x:v>conditional-local-file-unavailable</x:v>
      </x:c>
    </x:row>
    <x:row r="252" ht="15" hidden="0" customHeight="1">
      <x:c r="A252" s="19" t="str">
        <x:v>R01–R04审计</x:v>
      </x:c>
      <x:c r="B252" s="19" t="str">
        <x:v>media-candidate-cambricon-cb88e4adf00b</x:v>
      </x:c>
      <x:c r="C252" s="19" t="str">
        <x:v>寒武纪</x:v>
      </x:c>
      <x:c r="D252" s="19" t="str">
        <x:v>权威媒体候选</x:v>
      </x:c>
      <x:c r="E252" s="19" t="str">
        <x:v>大型科技股早盘活跃，科创50ETF易方达（588080）标的指数一度涨超2%</x:v>
      </x:c>
      <x:c r="F252" s="19"/>
      <x:c r="G252" s="19"/>
      <x:c r="H252" s="19"/>
      <x:c r="I252" s="19" t="str">
        <x:v>2026-04-07</x:v>
      </x:c>
      <x:c r="J252" s="19" t="str">
        <x:v>https://www.p5w.net/roll/zqzx/202604/t20260407_6450549.htm</x:v>
      </x:c>
      <x:c r="K252" s="19" t="str">
        <x:v>https://www.p5w.net/roll/zqzx/202604/t20260407_6450549.htm</x:v>
      </x:c>
      <x:c r="L252" s="19"/>
      <x:c r="M252" s="19"/>
      <x:c r="N252" s="19"/>
      <x:c r="O252" s="19" t="str">
        <x:v>candidate-only</x:v>
      </x:c>
      <x:c r="P252" s="33" t="b">
        <x:v>0</x:v>
      </x:c>
      <x:c r="Q252" s="19" t="n">
        <x:v>1</x:v>
      </x:c>
      <x:c r="R252" s="19" t="str">
        <x:v>conditional-local-file-unavailable</x:v>
      </x:c>
    </x:row>
    <x:row r="253" ht="21.600000381469727" hidden="0" customHeight="1">
      <x:c r="A253" s="19" t="str">
        <x:v>R01–R04审计</x:v>
      </x:c>
      <x:c r="B253" s="19" t="str">
        <x:v>media-candidate-cambricon-c26e3255c9ae</x:v>
      </x:c>
      <x:c r="C253" s="19" t="str">
        <x:v>寒武纪</x:v>
      </x:c>
      <x:c r="D253" s="19" t="str">
        <x:v>权威媒体候选</x:v>
      </x:c>
      <x:c r="E253" s="19" t="str">
        <x:v>消费电子ETF易方达（562950）标的指数涨近2%，苹果首款折叠屏手机进入试产阶段</x:v>
      </x:c>
      <x:c r="F253" s="19"/>
      <x:c r="G253" s="19"/>
      <x:c r="H253" s="19"/>
      <x:c r="I253" s="19" t="str">
        <x:v>2026-04-07</x:v>
      </x:c>
      <x:c r="J253" s="19" t="str">
        <x:v>https://www.p5w.net/roll/zqzx/202604/t20260407_6450529.htm</x:v>
      </x:c>
      <x:c r="K253" s="19" t="str">
        <x:v>https://www.p5w.net/roll/zqzx/202604/t20260407_6450529.htm</x:v>
      </x:c>
      <x:c r="L253" s="19"/>
      <x:c r="M253" s="19"/>
      <x:c r="N253" s="19"/>
      <x:c r="O253" s="19" t="str">
        <x:v>candidate-only</x:v>
      </x:c>
      <x:c r="P253" s="33" t="b">
        <x:v>0</x:v>
      </x:c>
      <x:c r="Q253" s="19" t="n">
        <x:v>1</x:v>
      </x:c>
      <x:c r="R253" s="19" t="str">
        <x:v>conditional-local-file-unavailable</x:v>
      </x:c>
    </x:row>
    <x:row r="254" ht="15" hidden="0" customHeight="1">
      <x:c r="A254" s="19" t="str">
        <x:v>R01–R04审计</x:v>
      </x:c>
      <x:c r="B254" s="19" t="str">
        <x:v>media-candidate-cambricon-9686ee82bdfc</x:v>
      </x:c>
      <x:c r="C254" s="19" t="str">
        <x:v>寒武纪</x:v>
      </x:c>
      <x:c r="D254" s="19" t="str">
        <x:v>权威媒体候选</x:v>
      </x:c>
      <x:c r="E254" s="19" t="str">
        <x:v>光模块与服务器组装市场需求持续高增，芯片ETF华夏（159995）涨1.42%</x:v>
      </x:c>
      <x:c r="F254" s="19"/>
      <x:c r="G254" s="19"/>
      <x:c r="H254" s="19"/>
      <x:c r="I254" s="19" t="str">
        <x:v>2026-04-07</x:v>
      </x:c>
      <x:c r="J254" s="19" t="str">
        <x:v>https://www.p5w.net/roll/zqzx/202604/t20260407_6450488.htm</x:v>
      </x:c>
      <x:c r="K254" s="19" t="str">
        <x:v>https://www.p5w.net/roll/zqzx/202604/t20260407_6450488.htm</x:v>
      </x:c>
      <x:c r="L254" s="19"/>
      <x:c r="M254" s="19"/>
      <x:c r="N254" s="19"/>
      <x:c r="O254" s="19" t="str">
        <x:v>candidate-only</x:v>
      </x:c>
      <x:c r="P254" s="33" t="b">
        <x:v>0</x:v>
      </x:c>
      <x:c r="Q254" s="19" t="n">
        <x:v>1</x:v>
      </x:c>
      <x:c r="R254" s="19" t="str">
        <x:v>conditional-local-file-unavailable</x:v>
      </x:c>
    </x:row>
    <x:row r="255" ht="21.600000381469727" hidden="0" customHeight="1">
      <x:c r="A255" s="19" t="str">
        <x:v>R01–R04审计</x:v>
      </x:c>
      <x:c r="B255" s="19" t="str">
        <x:v>media-candidate-cambricon-ab189dc1cd83</x:v>
      </x:c>
      <x:c r="C255" s="19" t="str">
        <x:v>寒武纪</x:v>
      </x:c>
      <x:c r="D255" s="19" t="str">
        <x:v>权威媒体候选</x:v>
      </x:c>
      <x:c r="E255" s="19" t="str">
        <x:v>科创芯片设计ETF易方达（589030）标的指数领涨市场，国产大模型全面换“芯”进行时</x:v>
      </x:c>
      <x:c r="F255" s="19"/>
      <x:c r="G255" s="19"/>
      <x:c r="H255" s="19"/>
      <x:c r="I255" s="19" t="str">
        <x:v>2026-04-07</x:v>
      </x:c>
      <x:c r="J255" s="19" t="str">
        <x:v>https://www.p5w.net/roll/zqzx/202604/t20260407_6450483.htm</x:v>
      </x:c>
      <x:c r="K255" s="19" t="str">
        <x:v>https://www.p5w.net/roll/zqzx/202604/t20260407_6450483.htm</x:v>
      </x:c>
      <x:c r="L255" s="19"/>
      <x:c r="M255" s="19"/>
      <x:c r="N255" s="19"/>
      <x:c r="O255" s="19" t="str">
        <x:v>candidate-only</x:v>
      </x:c>
      <x:c r="P255" s="33" t="b">
        <x:v>0</x:v>
      </x:c>
      <x:c r="Q255" s="19" t="n">
        <x:v>1</x:v>
      </x:c>
      <x:c r="R255" s="19" t="str">
        <x:v>conditional-local-file-unavailable</x:v>
      </x:c>
    </x:row>
    <x:row r="256" ht="15" hidden="0" customHeight="1">
      <x:c r="A256" s="19" t="str">
        <x:v>R01–R04审计</x:v>
      </x:c>
      <x:c r="B256" s="19" t="str">
        <x:v>media-candidate-cambricon-6985edaf4f13</x:v>
      </x:c>
      <x:c r="C256" s="19" t="str">
        <x:v>寒武纪</x:v>
      </x:c>
      <x:c r="D256" s="19" t="str">
        <x:v>权威媒体候选</x:v>
      </x:c>
      <x:c r="E256" s="19" t="str">
        <x:v>假期期间市场传来了多个重要消息，A500ETF南方（159352）涨0.58%</x:v>
      </x:c>
      <x:c r="F256" s="19"/>
      <x:c r="G256" s="19"/>
      <x:c r="H256" s="19"/>
      <x:c r="I256" s="19" t="str">
        <x:v>2026-04-07</x:v>
      </x:c>
      <x:c r="J256" s="19" t="str">
        <x:v>https://www.p5w.net/roll/zqzx/202604/t20260407_6450479.htm</x:v>
      </x:c>
      <x:c r="K256" s="19" t="str">
        <x:v>https://www.p5w.net/roll/zqzx/202604/t20260407_6450479.htm</x:v>
      </x:c>
      <x:c r="L256" s="19"/>
      <x:c r="M256" s="19"/>
      <x:c r="N256" s="19"/>
      <x:c r="O256" s="19" t="str">
        <x:v>candidate-only</x:v>
      </x:c>
      <x:c r="P256" s="33" t="b">
        <x:v>0</x:v>
      </x:c>
      <x:c r="Q256" s="19" t="n">
        <x:v>1</x:v>
      </x:c>
      <x:c r="R256" s="19" t="str">
        <x:v>conditional-local-file-unavailable</x:v>
      </x:c>
    </x:row>
    <x:row r="257" ht="15" hidden="0" customHeight="1">
      <x:c r="A257" s="19" t="str">
        <x:v>R01–R04审计</x:v>
      </x:c>
      <x:c r="B257" s="19" t="str">
        <x:v>media-candidate-cambricon-6644d71ee3a5</x:v>
      </x:c>
      <x:c r="C257" s="19" t="str">
        <x:v>寒武纪</x:v>
      </x:c>
      <x:c r="D257" s="19" t="str">
        <x:v>权威媒体候选</x:v>
      </x:c>
      <x:c r="E257" s="19" t="str">
        <x:v>光模块行业需求延续强劲，数字经济ETF鹏扬（560800）早盘涨1.55%</x:v>
      </x:c>
      <x:c r="F257" s="19"/>
      <x:c r="G257" s="19"/>
      <x:c r="H257" s="19"/>
      <x:c r="I257" s="19" t="str">
        <x:v>2026-04-07</x:v>
      </x:c>
      <x:c r="J257" s="19" t="str">
        <x:v>https://www.p5w.net/roll/zqzx/202604/t20260407_6450466.htm</x:v>
      </x:c>
      <x:c r="K257" s="19" t="str">
        <x:v>https://www.p5w.net/roll/zqzx/202604/t20260407_6450466.htm</x:v>
      </x:c>
      <x:c r="L257" s="19"/>
      <x:c r="M257" s="19"/>
      <x:c r="N257" s="19"/>
      <x:c r="O257" s="19" t="str">
        <x:v>candidate-only</x:v>
      </x:c>
      <x:c r="P257" s="33" t="b">
        <x:v>0</x:v>
      </x:c>
      <x:c r="Q257" s="19" t="n">
        <x:v>1</x:v>
      </x:c>
      <x:c r="R257" s="19" t="str">
        <x:v>conditional-local-file-unavailable</x:v>
      </x:c>
    </x:row>
    <x:row r="258" ht="15" hidden="0" customHeight="1">
      <x:c r="A258" s="19" t="str">
        <x:v>R01–R04审计</x:v>
      </x:c>
      <x:c r="B258" s="19" t="str">
        <x:v>media-candidate-cambricon-7715e6e5acd2</x:v>
      </x:c>
      <x:c r="C258" s="19" t="str">
        <x:v>寒武纪</x:v>
      </x:c>
      <x:c r="D258" s="19" t="str">
        <x:v>权威媒体候选</x:v>
      </x:c>
      <x:c r="E258" s="19" t="str">
        <x:v>中国“芯”稳步走向全球 半导体产业营收利润双增长</x:v>
      </x:c>
      <x:c r="F258" s="19"/>
      <x:c r="G258" s="19"/>
      <x:c r="H258" s="19"/>
      <x:c r="I258" s="19" t="str">
        <x:v>2026-04-07</x:v>
      </x:c>
      <x:c r="J258" s="19" t="str">
        <x:v>https://www.p5w.net/roll/stock/202604/t20260407_6450413.htm</x:v>
      </x:c>
      <x:c r="K258" s="19" t="str">
        <x:v>https://www.p5w.net/roll/stock/202604/t20260407_6450413.htm</x:v>
      </x:c>
      <x:c r="L258" s="19"/>
      <x:c r="M258" s="19"/>
      <x:c r="N258" s="19"/>
      <x:c r="O258" s="19" t="str">
        <x:v>candidate-only</x:v>
      </x:c>
      <x:c r="P258" s="33" t="b">
        <x:v>0</x:v>
      </x:c>
      <x:c r="Q258" s="19" t="n">
        <x:v>1</x:v>
      </x:c>
      <x:c r="R258" s="19" t="str">
        <x:v>conditional-local-file-unavailable</x:v>
      </x:c>
    </x:row>
    <x:row r="259" ht="15" hidden="0" customHeight="1">
      <x:c r="A259" s="19" t="str">
        <x:v>R01–R04审计</x:v>
      </x:c>
      <x:c r="B259" s="19" t="str">
        <x:v>media-candidate-cambricon-7db37597dcf5</x:v>
      </x:c>
      <x:c r="C259" s="19" t="str">
        <x:v>寒武纪</x:v>
      </x:c>
      <x:c r="D259" s="19" t="str">
        <x:v>权威媒体候选</x:v>
      </x:c>
      <x:c r="E259" s="19" t="str">
        <x:v>AI数据中心建设加速光纤光缆需求，科创创业50ETF鹏扬（588350）涨0.51%</x:v>
      </x:c>
      <x:c r="F259" s="19"/>
      <x:c r="G259" s="19"/>
      <x:c r="H259" s="19"/>
      <x:c r="I259" s="19" t="str">
        <x:v>2026-04-03</x:v>
      </x:c>
      <x:c r="J259" s="19" t="str">
        <x:v>https://www.p5w.net/roll/zqzx/202604/t20260403_6449985.htm</x:v>
      </x:c>
      <x:c r="K259" s="19" t="str">
        <x:v>https://www.p5w.net/roll/zqzx/202604/t20260403_6449985.htm</x:v>
      </x:c>
      <x:c r="L259" s="19"/>
      <x:c r="M259" s="19"/>
      <x:c r="N259" s="19"/>
      <x:c r="O259" s="19" t="str">
        <x:v>candidate-only</x:v>
      </x:c>
      <x:c r="P259" s="33" t="b">
        <x:v>0</x:v>
      </x:c>
      <x:c r="Q259" s="19" t="n">
        <x:v>1</x:v>
      </x:c>
      <x:c r="R259" s="19" t="str">
        <x:v>conditional-local-file-unavailable</x:v>
      </x:c>
    </x:row>
    <x:row r="260" ht="21.600000381469727" hidden="0" customHeight="1">
      <x:c r="A260" s="19" t="str">
        <x:v>R01–R04审计</x:v>
      </x:c>
      <x:c r="B260" s="19" t="str">
        <x:v>media-candidate-cambricon-c4b5f36d6271</x:v>
      </x:c>
      <x:c r="C260" s="19" t="str">
        <x:v>寒武纪</x:v>
      </x:c>
      <x:c r="D260" s="19" t="str">
        <x:v>权威媒体候选</x:v>
      </x:c>
      <x:c r="E260" s="19" t="str">
        <x:v>半导体产业链集体走强，关注科创芯片ETF易方达（589130）、半导体设备ETF易方达（159558）投资机会</x:v>
      </x:c>
      <x:c r="F260" s="19"/>
      <x:c r="G260" s="19"/>
      <x:c r="H260" s="19"/>
      <x:c r="I260" s="19" t="str">
        <x:v>2026-04-01</x:v>
      </x:c>
      <x:c r="J260" s="19" t="str">
        <x:v>https://www.p5w.net/roll/zqzx/202604/t20260401_6449186.htm</x:v>
      </x:c>
      <x:c r="K260" s="19" t="str">
        <x:v>https://www.p5w.net/roll/zqzx/202604/t20260401_6449186.htm</x:v>
      </x:c>
      <x:c r="L260" s="19"/>
      <x:c r="M260" s="19"/>
      <x:c r="N260" s="19"/>
      <x:c r="O260" s="19" t="str">
        <x:v>candidate-only</x:v>
      </x:c>
      <x:c r="P260" s="33" t="b">
        <x:v>0</x:v>
      </x:c>
      <x:c r="Q260" s="19" t="n">
        <x:v>1</x:v>
      </x:c>
      <x:c r="R260" s="19" t="str">
        <x:v>conditional-local-file-unavailable</x:v>
      </x:c>
    </x:row>
    <x:row r="261" ht="15" hidden="0" customHeight="1">
      <x:c r="A261" s="19" t="str">
        <x:v>R01–R04审计</x:v>
      </x:c>
      <x:c r="B261" s="19" t="str">
        <x:v>media-candidate-cambricon-993b5107e005</x:v>
      </x:c>
      <x:c r="C261" s="19" t="str">
        <x:v>寒武纪</x:v>
      </x:c>
      <x:c r="D261" s="19" t="str">
        <x:v>权威媒体候选</x:v>
      </x:c>
      <x:c r="E261" s="19" t="str">
        <x:v>AI产业链近日催化密集，数字经济ETF鹏扬（560800）早盘涨2.22%</x:v>
      </x:c>
      <x:c r="F261" s="19"/>
      <x:c r="G261" s="19"/>
      <x:c r="H261" s="19"/>
      <x:c r="I261" s="19" t="str">
        <x:v>2026-04-01</x:v>
      </x:c>
      <x:c r="J261" s="19" t="str">
        <x:v>https://www.p5w.net/roll/zqzx/202604/t20260401_6449044.htm</x:v>
      </x:c>
      <x:c r="K261" s="19" t="str">
        <x:v>https://www.p5w.net/roll/zqzx/202604/t20260401_6449044.htm</x:v>
      </x:c>
      <x:c r="L261" s="19"/>
      <x:c r="M261" s="19"/>
      <x:c r="N261" s="19"/>
      <x:c r="O261" s="19" t="str">
        <x:v>candidate-only</x:v>
      </x:c>
      <x:c r="P261" s="33" t="b">
        <x:v>0</x:v>
      </x:c>
      <x:c r="Q261" s="19" t="n">
        <x:v>1</x:v>
      </x:c>
      <x:c r="R261" s="19" t="str">
        <x:v>conditional-local-file-unavailable</x:v>
      </x:c>
    </x:row>
    <x:row r="262" ht="15" hidden="0" customHeight="1">
      <x:c r="A262" s="19" t="str">
        <x:v>R01–R04审计</x:v>
      </x:c>
      <x:c r="B262" s="19" t="str">
        <x:v>media-candidate-cambricon-7b62bf01ac12</x:v>
      </x:c>
      <x:c r="C262" s="19" t="str">
        <x:v>寒武纪</x:v>
      </x:c>
      <x:c r="D262" s="19" t="str">
        <x:v>权威媒体候选</x:v>
      </x:c>
      <x:c r="E262" s="19" t="str">
        <x:v>蓝鲸记者训练营复盘｜万得集团副总裁葛正琦：财经记者如何用好金融智能体？</x:v>
      </x:c>
      <x:c r="F262" s="19"/>
      <x:c r="G262" s="19"/>
      <x:c r="H262" s="19"/>
      <x:c r="I262" s="19" t="str">
        <x:v>2026-03-31</x:v>
      </x:c>
      <x:c r="J262" s="19" t="str">
        <x:v>https://www.p5w.net/roll/lanjinger/202603/t20260331_6448821.htm</x:v>
      </x:c>
      <x:c r="K262" s="19" t="str">
        <x:v>https://www.p5w.net/roll/lanjinger/202603/t20260331_6448821.htm</x:v>
      </x:c>
      <x:c r="L262" s="19"/>
      <x:c r="M262" s="19"/>
      <x:c r="N262" s="19"/>
      <x:c r="O262" s="19" t="str">
        <x:v>candidate-only</x:v>
      </x:c>
      <x:c r="P262" s="33" t="b">
        <x:v>0</x:v>
      </x:c>
      <x:c r="Q262" s="19" t="n">
        <x:v>1</x:v>
      </x:c>
      <x:c r="R262" s="19" t="str">
        <x:v>conditional-local-file-unavailable</x:v>
      </x:c>
    </x:row>
    <x:row r="263" ht="15" hidden="0" customHeight="1">
      <x:c r="A263" s="19" t="str">
        <x:v>R01–R04审计</x:v>
      </x:c>
      <x:c r="B263" s="19" t="str">
        <x:v>media-candidate-cambricon-14deceafce4e</x:v>
      </x:c>
      <x:c r="C263" s="19" t="str">
        <x:v>寒武纪</x:v>
      </x:c>
      <x:c r="D263" s="19" t="str">
        <x:v>权威媒体候选</x:v>
      </x:c>
      <x:c r="E263" s="19" t="str">
        <x:v>科创板AI芯片公司整体业绩向好，芯片ETF华夏（159995）收涨2.26%</x:v>
      </x:c>
      <x:c r="F263" s="19"/>
      <x:c r="G263" s="19"/>
      <x:c r="H263" s="19"/>
      <x:c r="I263" s="19" t="str">
        <x:v>2026-03-25</x:v>
      </x:c>
      <x:c r="J263" s="19" t="str">
        <x:v>https://www.p5w.net/roll/zqzx/202603/t20260325_6445572.htm</x:v>
      </x:c>
      <x:c r="K263" s="19" t="str">
        <x:v>https://www.p5w.net/roll/zqzx/202603/t20260325_6445572.htm</x:v>
      </x:c>
      <x:c r="L263" s="19"/>
      <x:c r="M263" s="19"/>
      <x:c r="N263" s="19"/>
      <x:c r="O263" s="19" t="str">
        <x:v>candidate-only</x:v>
      </x:c>
      <x:c r="P263" s="33" t="b">
        <x:v>0</x:v>
      </x:c>
      <x:c r="Q263" s="19" t="n">
        <x:v>1</x:v>
      </x:c>
      <x:c r="R263" s="19" t="str">
        <x:v>conditional-local-file-unavailable</x:v>
      </x:c>
    </x:row>
    <x:row r="264" ht="15" hidden="0" customHeight="1">
      <x:c r="A264" s="19" t="str">
        <x:v>R01–R04审计</x:v>
      </x:c>
      <x:c r="B264" s="19" t="str">
        <x:v>media-candidate-cambricon-9d2058add4be</x:v>
      </x:c>
      <x:c r="C264" s="19" t="str">
        <x:v>寒武纪</x:v>
      </x:c>
      <x:c r="D264" s="19" t="str">
        <x:v>权威媒体候选</x:v>
      </x:c>
      <x:c r="E264" s="19" t="str">
        <x:v>超200家公司发布年报分红方案 行业龙头慷慨派现</x:v>
      </x:c>
      <x:c r="F264" s="19"/>
      <x:c r="G264" s="19"/>
      <x:c r="H264" s="19"/>
      <x:c r="I264" s="19" t="str">
        <x:v>2026-03-25</x:v>
      </x:c>
      <x:c r="J264" s="19" t="str">
        <x:v>https://www.p5w.net/roll/stock/202603/t20260325_6445398.htm</x:v>
      </x:c>
      <x:c r="K264" s="19" t="str">
        <x:v>https://www.p5w.net/roll/stock/202603/t20260325_6445398.htm</x:v>
      </x:c>
      <x:c r="L264" s="19"/>
      <x:c r="M264" s="19"/>
      <x:c r="N264" s="19"/>
      <x:c r="O264" s="19" t="str">
        <x:v>candidate-only</x:v>
      </x:c>
      <x:c r="P264" s="33" t="b">
        <x:v>0</x:v>
      </x:c>
      <x:c r="Q264" s="19" t="n">
        <x:v>1</x:v>
      </x:c>
      <x:c r="R264" s="19" t="str">
        <x:v>conditional-local-file-unavailable</x:v>
      </x:c>
    </x:row>
    <x:row r="265" ht="15" hidden="0" customHeight="1">
      <x:c r="A265" s="19" t="str">
        <x:v>R01–R04审计</x:v>
      </x:c>
      <x:c r="B265" s="19" t="str">
        <x:v>media-candidate-cambricon-d786d9566302</x:v>
      </x:c>
      <x:c r="C265" s="19" t="str">
        <x:v>寒武纪</x:v>
      </x:c>
      <x:c r="D265" s="19" t="str">
        <x:v>权威媒体候选</x:v>
      </x:c>
      <x:c r="E265" s="19" t="str">
        <x:v>鹏华基金 | 四大引擎共振，港股硬科技为何成为“香饽饽”？</x:v>
      </x:c>
      <x:c r="F265" s="19"/>
      <x:c r="G265" s="19"/>
      <x:c r="H265" s="19"/>
      <x:c r="I265" s="19" t="str">
        <x:v>2026-03-20</x:v>
      </x:c>
      <x:c r="J265" s="19" t="str">
        <x:v>https://www.p5w.net/roll/fund/202605/t20260526_6474366.htm</x:v>
      </x:c>
      <x:c r="K265" s="19" t="str">
        <x:v>https://www.p5w.net/roll/fund/202605/t20260526_6474366.htm</x:v>
      </x:c>
      <x:c r="L265" s="19"/>
      <x:c r="M265" s="19"/>
      <x:c r="N265" s="19"/>
      <x:c r="O265" s="19" t="str">
        <x:v>candidate-only</x:v>
      </x:c>
      <x:c r="P265" s="33" t="b">
        <x:v>0</x:v>
      </x:c>
      <x:c r="Q265" s="19" t="n">
        <x:v>1</x:v>
      </x:c>
      <x:c r="R265" s="19" t="str">
        <x:v>conditional-local-file-unavailable</x:v>
      </x:c>
    </x:row>
    <x:row r="266" ht="21.600000381469727" hidden="0" customHeight="1">
      <x:c r="A266" s="19" t="str">
        <x:v>R01–R04审计</x:v>
      </x:c>
      <x:c r="B266" s="19" t="str">
        <x:v>media-candidate-cambricon-11bcdce4f1fd</x:v>
      </x:c>
      <x:c r="C266" s="19" t="str">
        <x:v>寒武纪</x:v>
      </x:c>
      <x:c r="D266" s="19" t="str">
        <x:v>权威媒体候选</x:v>
      </x:c>
      <x:c r="E266" s="19" t="str">
        <x:v>A股又迎千元新贵，源杰科技股价一年狂飙超7倍，市盈率超500倍，能否站稳考验业绩成色</x:v>
      </x:c>
      <x:c r="F266" s="19"/>
      <x:c r="G266" s="19"/>
      <x:c r="H266" s="19"/>
      <x:c r="I266" s="19" t="str">
        <x:v>2026-03-20</x:v>
      </x:c>
      <x:c r="J266" s="19" t="str">
        <x:v>https://www.p5w.net/roll/lanjinger/202603/t20260320_6444366.htm</x:v>
      </x:c>
      <x:c r="K266" s="19" t="str">
        <x:v>https://www.p5w.net/roll/lanjinger/202603/t20260320_6444366.htm</x:v>
      </x:c>
      <x:c r="L266" s="19"/>
      <x:c r="M266" s="19"/>
      <x:c r="N266" s="19"/>
      <x:c r="O266" s="19" t="str">
        <x:v>candidate-only</x:v>
      </x:c>
      <x:c r="P266" s="33" t="b">
        <x:v>0</x:v>
      </x:c>
      <x:c r="Q266" s="19" t="n">
        <x:v>1</x:v>
      </x:c>
      <x:c r="R266" s="19" t="str">
        <x:v>conditional-local-file-unavailable</x:v>
      </x:c>
    </x:row>
    <x:row r="267" ht="21.600000381469727" hidden="0" customHeight="1">
      <x:c r="A267" s="19" t="str">
        <x:v>R01–R04审计</x:v>
      </x:c>
      <x:c r="B267" s="19" t="str">
        <x:v>media-candidate-cambricon-49196a4391cd</x:v>
      </x:c>
      <x:c r="C267" s="19" t="str">
        <x:v>寒武纪</x:v>
      </x:c>
      <x:c r="D267" s="19" t="str">
        <x:v>权威媒体候选</x:v>
      </x:c>
      <x:c r="E267" s="19" t="str">
        <x:v>CPO、光刻机概念股领涨，科创创业人工智能ETF易方达（159140）标的指数涨超1%</x:v>
      </x:c>
      <x:c r="F267" s="19"/>
      <x:c r="G267" s="19"/>
      <x:c r="H267" s="19"/>
      <x:c r="I267" s="19" t="str">
        <x:v>2026-03-20</x:v>
      </x:c>
      <x:c r="J267" s="19" t="str">
        <x:v>https://www.p5w.net/roll/zqzx/202603/t20260320_6444320.htm</x:v>
      </x:c>
      <x:c r="K267" s="19" t="str">
        <x:v>https://www.p5w.net/roll/zqzx/202603/t20260320_6444320.htm</x:v>
      </x:c>
      <x:c r="L267" s="19"/>
      <x:c r="M267" s="19"/>
      <x:c r="N267" s="19"/>
      <x:c r="O267" s="19" t="str">
        <x:v>candidate-only</x:v>
      </x:c>
      <x:c r="P267" s="33" t="b">
        <x:v>0</x:v>
      </x:c>
      <x:c r="Q267" s="19" t="n">
        <x:v>1</x:v>
      </x:c>
      <x:c r="R267" s="19" t="str">
        <x:v>conditional-local-file-unavailable</x:v>
      </x:c>
    </x:row>
    <x:row r="268" ht="15" hidden="0" customHeight="1">
      <x:c r="A268" s="19" t="str">
        <x:v>R01–R04审计</x:v>
      </x:c>
      <x:c r="B268" s="19" t="str">
        <x:v>media-candidate-cambricon-6d0e24f451d1</x:v>
      </x:c>
      <x:c r="C268" s="19" t="str">
        <x:v>寒武纪</x:v>
      </x:c>
      <x:c r="D268" s="19" t="str">
        <x:v>权威媒体候选</x:v>
      </x:c>
      <x:c r="E268" s="19" t="str">
        <x:v>3月20日证券之星午间消息汇总：历史罕见！A股第八只千元股诞生</x:v>
      </x:c>
      <x:c r="F268" s="19"/>
      <x:c r="G268" s="19"/>
      <x:c r="H268" s="19"/>
      <x:c r="I268" s="19" t="str">
        <x:v>2026-03-20</x:v>
      </x:c>
      <x:c r="J268" s="19" t="str">
        <x:v>https://www.p5w.net/roll/zqzx/202603/t20260320_6444279.htm</x:v>
      </x:c>
      <x:c r="K268" s="19" t="str">
        <x:v>https://www.p5w.net/roll/zqzx/202603/t20260320_6444279.htm</x:v>
      </x:c>
      <x:c r="L268" s="19"/>
      <x:c r="M268" s="19"/>
      <x:c r="N268" s="19"/>
      <x:c r="O268" s="19" t="str">
        <x:v>candidate-only</x:v>
      </x:c>
      <x:c r="P268" s="33" t="b">
        <x:v>0</x:v>
      </x:c>
      <x:c r="Q268" s="19" t="n">
        <x:v>1</x:v>
      </x:c>
      <x:c r="R268" s="19" t="str">
        <x:v>conditional-local-file-unavailable</x:v>
      </x:c>
    </x:row>
    <x:row r="269" ht="15" hidden="0" customHeight="1">
      <x:c r="A269" s="19" t="str">
        <x:v>R01–R04审计</x:v>
      </x:c>
      <x:c r="B269" s="19" t="str">
        <x:v>media-candidate-cambricon-27c002481f02</x:v>
      </x:c>
      <x:c r="C269" s="19" t="str">
        <x:v>寒武纪</x:v>
      </x:c>
      <x:c r="D269" s="19" t="str">
        <x:v>权威媒体候选</x:v>
      </x:c>
      <x:c r="E269" s="19" t="str">
        <x:v>券商今日金股：5份研报力推一股（名单）</x:v>
      </x:c>
      <x:c r="F269" s="19"/>
      <x:c r="G269" s="19"/>
      <x:c r="H269" s="19"/>
      <x:c r="I269" s="19" t="str">
        <x:v>2026-03-19</x:v>
      </x:c>
      <x:c r="J269" s="19" t="str">
        <x:v>https://www.p5w.net/roll/zqzx/202603/t20260319_6443979.htm</x:v>
      </x:c>
      <x:c r="K269" s="19" t="str">
        <x:v>https://www.p5w.net/roll/zqzx/202603/t20260319_6443979.htm</x:v>
      </x:c>
      <x:c r="L269" s="19"/>
      <x:c r="M269" s="19"/>
      <x:c r="N269" s="19"/>
      <x:c r="O269" s="19" t="str">
        <x:v>candidate-only</x:v>
      </x:c>
      <x:c r="P269" s="33" t="b">
        <x:v>0</x:v>
      </x:c>
      <x:c r="Q269" s="19" t="n">
        <x:v>1</x:v>
      </x:c>
      <x:c r="R269" s="19" t="str">
        <x:v>conditional-local-file-unavailable</x:v>
      </x:c>
    </x:row>
    <x:row r="270" ht="15" hidden="0" customHeight="1">
      <x:c r="A270" s="19" t="str">
        <x:v>R01–R04审计</x:v>
      </x:c>
      <x:c r="B270" s="19" t="str">
        <x:v>media-candidate-cambricon-81d88e641c5b</x:v>
      </x:c>
      <x:c r="C270" s="19" t="str">
        <x:v>寒武纪</x:v>
      </x:c>
      <x:c r="D270" s="19" t="str">
        <x:v>权威媒体候选</x:v>
      </x:c>
      <x:c r="E270" s="19" t="str">
        <x:v>GTC大会到来，“令世界震惊的芯片”将如何塑造产业逻辑？</x:v>
      </x:c>
      <x:c r="F270" s="19"/>
      <x:c r="G270" s="19"/>
      <x:c r="H270" s="19"/>
      <x:c r="I270" s="19" t="str">
        <x:v>2026-03-17</x:v>
      </x:c>
      <x:c r="J270" s="19" t="str">
        <x:v>https://www.p5w.net/roll/zqzx/202603/t20260317_6443160.htm</x:v>
      </x:c>
      <x:c r="K270" s="19" t="str">
        <x:v>https://www.p5w.net/roll/zqzx/202603/t20260317_6443160.htm</x:v>
      </x:c>
      <x:c r="L270" s="19"/>
      <x:c r="M270" s="19"/>
      <x:c r="N270" s="19"/>
      <x:c r="O270" s="19" t="str">
        <x:v>candidate-only</x:v>
      </x:c>
      <x:c r="P270" s="33" t="b">
        <x:v>0</x:v>
      </x:c>
      <x:c r="Q270" s="19" t="n">
        <x:v>1</x:v>
      </x:c>
      <x:c r="R270" s="19" t="str">
        <x:v>conditional-local-file-unavailable</x:v>
      </x:c>
    </x:row>
    <x:row r="271" ht="15" hidden="0" customHeight="1">
      <x:c r="A271" s="19" t="str">
        <x:v>R01–R04审计</x:v>
      </x:c>
      <x:c r="B271" s="19" t="str">
        <x:v>media-candidate-cambricon-1efa7fc67e99</x:v>
      </x:c>
      <x:c r="C271" s="19" t="str">
        <x:v>寒武纪</x:v>
      </x:c>
      <x:c r="D271" s="19" t="str">
        <x:v>权威媒体候选</x:v>
      </x:c>
      <x:c r="E271" s="19" t="str">
        <x:v>易方达基金：存储芯片板块午后强势拉升，AI算力与国产替代双轮驱动</x:v>
      </x:c>
      <x:c r="F271" s="19"/>
      <x:c r="G271" s="19"/>
      <x:c r="H271" s="19"/>
      <x:c r="I271" s="19" t="str">
        <x:v>2026-03-16</x:v>
      </x:c>
      <x:c r="J271" s="19" t="str">
        <x:v>https://www.p5w.net/roll/pcj/202603/t20260316_6442909.htm</x:v>
      </x:c>
      <x:c r="K271" s="19" t="str">
        <x:v>https://www.p5w.net/roll/pcj/202603/t20260316_6442909.htm</x:v>
      </x:c>
      <x:c r="L271" s="19"/>
      <x:c r="M271" s="19"/>
      <x:c r="N271" s="19"/>
      <x:c r="O271" s="19" t="str">
        <x:v>candidate-only</x:v>
      </x:c>
      <x:c r="P271" s="33" t="b">
        <x:v>0</x:v>
      </x:c>
      <x:c r="Q271" s="19" t="n">
        <x:v>1</x:v>
      </x:c>
      <x:c r="R271" s="19" t="str">
        <x:v>conditional-local-file-unavailable</x:v>
      </x:c>
    </x:row>
    <x:row r="272" ht="15" hidden="0" customHeight="1">
      <x:c r="A272" s="19" t="str">
        <x:v>R01–R04审计</x:v>
      </x:c>
      <x:c r="B272" s="19" t="str">
        <x:v>media-candidate-cambricon-369d1d7a4e6d</x:v>
      </x:c>
      <x:c r="C272" s="19" t="str">
        <x:v>寒武纪</x:v>
      </x:c>
      <x:c r="D272" s="19" t="str">
        <x:v>权威媒体候选</x:v>
      </x:c>
      <x:c r="E272" s="19" t="str">
        <x:v>沐曦股份：收入增速回落，GPU赛道“烧钱”难盈利，市值缩水超千亿</x:v>
      </x:c>
      <x:c r="F272" s="19"/>
      <x:c r="G272" s="19"/>
      <x:c r="H272" s="19"/>
      <x:c r="I272" s="19" t="str">
        <x:v>2026-03-16</x:v>
      </x:c>
      <x:c r="J272" s="19" t="str">
        <x:v>https://www.p5w.net/roll/zqzx/202603/t20260316_6442846.htm</x:v>
      </x:c>
      <x:c r="K272" s="19" t="str">
        <x:v>https://www.p5w.net/roll/zqzx/202603/t20260316_6442846.htm</x:v>
      </x:c>
      <x:c r="L272" s="19"/>
      <x:c r="M272" s="19"/>
      <x:c r="N272" s="19"/>
      <x:c r="O272" s="19" t="str">
        <x:v>candidate-only</x:v>
      </x:c>
      <x:c r="P272" s="33" t="b">
        <x:v>0</x:v>
      </x:c>
      <x:c r="Q272" s="19" t="n">
        <x:v>1</x:v>
      </x:c>
      <x:c r="R272" s="19" t="str">
        <x:v>conditional-local-file-unavailable</x:v>
      </x:c>
    </x:row>
    <x:row r="273" ht="21.600000381469727" hidden="0" customHeight="1">
      <x:c r="A273" s="19" t="str">
        <x:v>R01–R04审计</x:v>
      </x:c>
      <x:c r="B273" s="19" t="str">
        <x:v>media-candidate-cambricon-584417ee0c13</x:v>
      </x:c>
      <x:c r="C273" s="19" t="str">
        <x:v>寒武纪</x:v>
      </x:c>
      <x:c r="D273" s="19" t="str">
        <x:v>权威媒体候选</x:v>
      </x:c>
      <x:c r="E273" s="19" t="str">
        <x:v>油气价格扰动有望推动全球能源体系进入新一轮重构，双创50ETF基金（588350）涨0.56%</x:v>
      </x:c>
      <x:c r="F273" s="19"/>
      <x:c r="G273" s="19"/>
      <x:c r="H273" s="19"/>
      <x:c r="I273" s="19" t="str">
        <x:v>2026-03-13</x:v>
      </x:c>
      <x:c r="J273" s="19" t="str">
        <x:v>https://www.p5w.net/roll/zqzx/202603/t20260313_6442277.htm</x:v>
      </x:c>
      <x:c r="K273" s="19" t="str">
        <x:v>https://www.p5w.net/roll/zqzx/202603/t20260313_6442277.htm</x:v>
      </x:c>
      <x:c r="L273" s="19"/>
      <x:c r="M273" s="19"/>
      <x:c r="N273" s="19"/>
      <x:c r="O273" s="19" t="str">
        <x:v>candidate-only</x:v>
      </x:c>
      <x:c r="P273" s="33" t="b">
        <x:v>0</x:v>
      </x:c>
      <x:c r="Q273" s="19" t="n">
        <x:v>1</x:v>
      </x:c>
      <x:c r="R273" s="19" t="str">
        <x:v>conditional-local-file-unavailable</x:v>
      </x:c>
    </x:row>
    <x:row r="274" ht="15" hidden="0" customHeight="1">
      <x:c r="A274" s="19" t="str">
        <x:v>R01–R04审计</x:v>
      </x:c>
      <x:c r="B274" s="19" t="str">
        <x:v>media-candidate-cambricon-cea57465f010</x:v>
      </x:c>
      <x:c r="C274" s="19" t="str">
        <x:v>寒武纪</x:v>
      </x:c>
      <x:c r="D274" s="19" t="str">
        <x:v>权威媒体候选</x:v>
      </x:c>
      <x:c r="E274" s="19" t="str">
        <x:v>寒王发财报了：2025营收64.97亿，同比大涨4.5倍，符合机构预期</x:v>
      </x:c>
      <x:c r="F274" s="19"/>
      <x:c r="G274" s="19"/>
      <x:c r="H274" s="19"/>
      <x:c r="I274" s="19" t="str">
        <x:v>2026-03-13</x:v>
      </x:c>
      <x:c r="J274" s="19" t="str">
        <x:v>https://www.p5w.net/roll/lanjinger/202603/t20260313_6442179.htm</x:v>
      </x:c>
      <x:c r="K274" s="19" t="str">
        <x:v>https://www.p5w.net/roll/lanjinger/202603/t20260313_6442179.htm</x:v>
      </x:c>
      <x:c r="L274" s="19"/>
      <x:c r="M274" s="19"/>
      <x:c r="N274" s="19"/>
      <x:c r="O274" s="19" t="str">
        <x:v>candidate-only</x:v>
      </x:c>
      <x:c r="P274" s="33" t="b">
        <x:v>0</x:v>
      </x:c>
      <x:c r="Q274" s="19" t="n">
        <x:v>1</x:v>
      </x:c>
      <x:c r="R274" s="19" t="str">
        <x:v>conditional-local-file-unavailable</x:v>
      </x:c>
    </x:row>
    <x:row r="275" ht="15" hidden="0" customHeight="1">
      <x:c r="A275" s="19" t="str">
        <x:v>R01–R04审计</x:v>
      </x:c>
      <x:c r="B275" s="19" t="str">
        <x:v>media-candidate-cambricon-0529486317f2</x:v>
      </x:c>
      <x:c r="C275" s="19" t="str">
        <x:v>寒武纪</x:v>
      </x:c>
      <x:c r="D275" s="19" t="str">
        <x:v>权威媒体候选</x:v>
      </x:c>
      <x:c r="E275" s="19" t="str">
        <x:v>山东墨龙港股盘中再现暴涨，公司重申：对业绩无实质利好</x:v>
      </x:c>
      <x:c r="F275" s="19"/>
      <x:c r="G275" s="19"/>
      <x:c r="H275" s="19"/>
      <x:c r="I275" s="19" t="str">
        <x:v>2026-03-13</x:v>
      </x:c>
      <x:c r="J275" s="19" t="str">
        <x:v>https://www.p5w.net/roll/lanjinger/202603/t20260313_6442178.htm</x:v>
      </x:c>
      <x:c r="K275" s="19" t="str">
        <x:v>https://www.p5w.net/roll/lanjinger/202603/t20260313_6442178.htm</x:v>
      </x:c>
      <x:c r="L275" s="19"/>
      <x:c r="M275" s="19"/>
      <x:c r="N275" s="19"/>
      <x:c r="O275" s="19" t="str">
        <x:v>candidate-only</x:v>
      </x:c>
      <x:c r="P275" s="33" t="b">
        <x:v>0</x:v>
      </x:c>
      <x:c r="Q275" s="19" t="n">
        <x:v>1</x:v>
      </x:c>
      <x:c r="R275" s="19" t="str">
        <x:v>conditional-local-file-unavailable</x:v>
      </x:c>
    </x:row>
    <x:row r="276" ht="21.600000381469727" hidden="0" customHeight="1">
      <x:c r="A276" s="19" t="str">
        <x:v>R01–R04审计</x:v>
      </x:c>
      <x:c r="B276" s="19" t="str">
        <x:v>media-candidate-cambricon-f0fe93e49062</x:v>
      </x:c>
      <x:c r="C276" s="19" t="str">
        <x:v>寒武纪</x:v>
      </x:c>
      <x:c r="D276" s="19" t="str">
        <x:v>权威媒体候选</x:v>
      </x:c>
      <x:c r="E276" s="19" t="str">
        <x:v>活动 | 2025福布斯中国科创人物评选结果揭晓：AI重构万物，中国定义者引领产业跃迁</x:v>
      </x:c>
      <x:c r="F276" s="19"/>
      <x:c r="G276" s="19"/>
      <x:c r="H276" s="19"/>
      <x:c r="I276" s="19" t="str">
        <x:v>2026-03-11</x:v>
      </x:c>
      <x:c r="J276" s="19" t="str">
        <x:v>https://www.p5w.net/roll/complex/202603/t20260311_6441807.htm</x:v>
      </x:c>
      <x:c r="K276" s="19" t="str">
        <x:v>https://www.p5w.net/roll/complex/202603/t20260311_6441807.htm</x:v>
      </x:c>
      <x:c r="L276" s="19"/>
      <x:c r="M276" s="19"/>
      <x:c r="N276" s="19"/>
      <x:c r="O276" s="19" t="str">
        <x:v>candidate-only</x:v>
      </x:c>
      <x:c r="P276" s="33" t="b">
        <x:v>0</x:v>
      </x:c>
      <x:c r="Q276" s="19" t="n">
        <x:v>1</x:v>
      </x:c>
      <x:c r="R276" s="19" t="str">
        <x:v>conditional-local-file-unavailable</x:v>
      </x:c>
    </x:row>
    <x:row r="277" ht="21.600000381469727" hidden="0" customHeight="1">
      <x:c r="A277" s="19" t="str">
        <x:v>R01–R04审计</x:v>
      </x:c>
      <x:c r="B277" s="19" t="str">
        <x:v>media-candidate-cambricon-51cb77bd0ebb</x:v>
      </x:c>
      <x:c r="C277" s="19" t="str">
        <x:v>寒武纪</x:v>
      </x:c>
      <x:c r="D277" s="19" t="str">
        <x:v>权威媒体候选</x:v>
      </x:c>
      <x:c r="E277" s="19" t="str">
        <x:v>到2030年新兴支柱产业产值有望超10万亿元，双创50ETF基金（588350）午后涨超3%</x:v>
      </x:c>
      <x:c r="F277" s="19"/>
      <x:c r="G277" s="19"/>
      <x:c r="H277" s="19"/>
      <x:c r="I277" s="19" t="str">
        <x:v>2026-03-10</x:v>
      </x:c>
      <x:c r="J277" s="19" t="str">
        <x:v>https://www.p5w.net/roll/zqzx/202603/t20260310_6441551.htm</x:v>
      </x:c>
      <x:c r="K277" s="19" t="str">
        <x:v>https://www.p5w.net/roll/zqzx/202603/t20260310_6441551.htm</x:v>
      </x:c>
      <x:c r="L277" s="19"/>
      <x:c r="M277" s="19"/>
      <x:c r="N277" s="19"/>
      <x:c r="O277" s="19" t="str">
        <x:v>candidate-only</x:v>
      </x:c>
      <x:c r="P277" s="33" t="b">
        <x:v>0</x:v>
      </x:c>
      <x:c r="Q277" s="19" t="n">
        <x:v>1</x:v>
      </x:c>
      <x:c r="R277" s="19" t="str">
        <x:v>conditional-local-file-unavailable</x:v>
      </x:c>
    </x:row>
    <x:row r="278" ht="15" hidden="0" customHeight="1">
      <x:c r="A278" s="19" t="str">
        <x:v>R01–R04审计</x:v>
      </x:c>
      <x:c r="B278" s="19" t="str">
        <x:v>media-candidate-cambricon-fed60aeab6b9</x:v>
      </x:c>
      <x:c r="C278" s="19" t="str">
        <x:v>寒武纪</x:v>
      </x:c>
      <x:c r="D278" s="19" t="str">
        <x:v>权威媒体候选</x:v>
      </x:c>
      <x:c r="E278" s="19" t="str">
        <x:v>集成电路位列“新兴支柱产业”之首，这两只ETF的机会来了？</x:v>
      </x:c>
      <x:c r="F278" s="19"/>
      <x:c r="G278" s="19"/>
      <x:c r="H278" s="19"/>
      <x:c r="I278" s="19" t="str">
        <x:v>2026-03-09</x:v>
      </x:c>
      <x:c r="J278" s="19" t="str">
        <x:v>https://www.p5w.net/roll/zqzx/202603/t20260309_6441369.htm</x:v>
      </x:c>
      <x:c r="K278" s="19" t="str">
        <x:v>https://www.p5w.net/roll/zqzx/202603/t20260309_6441369.htm</x:v>
      </x:c>
      <x:c r="L278" s="19"/>
      <x:c r="M278" s="19"/>
      <x:c r="N278" s="19"/>
      <x:c r="O278" s="19" t="str">
        <x:v>candidate-only</x:v>
      </x:c>
      <x:c r="P278" s="33" t="b">
        <x:v>0</x:v>
      </x:c>
      <x:c r="Q278" s="19" t="n">
        <x:v>1</x:v>
      </x:c>
      <x:c r="R278" s="19" t="str">
        <x:v>conditional-local-file-unavailable</x:v>
      </x:c>
    </x:row>
    <x:row r="279" ht="15" hidden="0" customHeight="1">
      <x:c r="A279" s="19" t="str">
        <x:v>R01–R04审计</x:v>
      </x:c>
      <x:c r="B279" s="19" t="str">
        <x:v>media-candidate-cambricon-386762938aa1</x:v>
      </x:c>
      <x:c r="C279" s="19" t="str">
        <x:v>寒武纪</x:v>
      </x:c>
      <x:c r="D279" s="19" t="str">
        <x:v>权威媒体候选</x:v>
      </x:c>
      <x:c r="E279" s="19" t="str">
        <x:v>科创人工智能ETF汇添富（589560.SH）：AI赛道持续发力，重仓股表现分化</x:v>
      </x:c>
      <x:c r="F279" s="19"/>
      <x:c r="G279" s="19"/>
      <x:c r="H279" s="19"/>
      <x:c r="I279" s="19" t="str">
        <x:v>2026-03-05</x:v>
      </x:c>
      <x:c r="J279" s="19" t="str">
        <x:v>https://www.p5w.net/roll/pcj/202603/t20260305_6440819.htm</x:v>
      </x:c>
      <x:c r="K279" s="19" t="str">
        <x:v>https://www.p5w.net/roll/pcj/202603/t20260305_6440819.htm</x:v>
      </x:c>
      <x:c r="L279" s="19"/>
      <x:c r="M279" s="19"/>
      <x:c r="N279" s="19"/>
      <x:c r="O279" s="19" t="str">
        <x:v>candidate-only</x:v>
      </x:c>
      <x:c r="P279" s="33" t="b">
        <x:v>0</x:v>
      </x:c>
      <x:c r="Q279" s="19" t="n">
        <x:v>1</x:v>
      </x:c>
      <x:c r="R279" s="19" t="str">
        <x:v>conditional-local-file-unavailable</x:v>
      </x:c>
    </x:row>
    <x:row r="280" ht="15" hidden="0" customHeight="1">
      <x:c r="A280" s="19" t="str">
        <x:v>R01–R04审计</x:v>
      </x:c>
      <x:c r="B280" s="19" t="str">
        <x:v>media-candidate-cambricon-51aaf9c9c493</x:v>
      </x:c>
      <x:c r="C280" s="19" t="str">
        <x:v>寒武纪</x:v>
      </x:c>
      <x:c r="D280" s="19" t="str">
        <x:v>权威媒体候选</x:v>
      </x:c>
      <x:c r="E280" s="19" t="str">
        <x:v>人工智能技术与各行各业融合不断加深，数字经济ETF（560800）涨1.61%</x:v>
      </x:c>
      <x:c r="F280" s="19"/>
      <x:c r="G280" s="19"/>
      <x:c r="H280" s="19"/>
      <x:c r="I280" s="19" t="str">
        <x:v>2026-03-05</x:v>
      </x:c>
      <x:c r="J280" s="19" t="str">
        <x:v>https://www.p5w.net/roll/zqzx/202603/t20260305_6440784.htm</x:v>
      </x:c>
      <x:c r="K280" s="19" t="str">
        <x:v>https://www.p5w.net/roll/zqzx/202603/t20260305_6440784.htm</x:v>
      </x:c>
      <x:c r="L280" s="19"/>
      <x:c r="M280" s="19"/>
      <x:c r="N280" s="19"/>
      <x:c r="O280" s="19" t="str">
        <x:v>candidate-only</x:v>
      </x:c>
      <x:c r="P280" s="33" t="b">
        <x:v>0</x:v>
      </x:c>
      <x:c r="Q280" s="19" t="n">
        <x:v>1</x:v>
      </x:c>
      <x:c r="R280" s="19" t="str">
        <x:v>conditional-local-file-unavailable</x:v>
      </x:c>
    </x:row>
    <x:row r="281" ht="21.600000381469727" hidden="0" customHeight="1">
      <x:c r="A281" s="19" t="str">
        <x:v>R01–R04审计</x:v>
      </x:c>
      <x:c r="B281" s="19" t="str">
        <x:v>media-candidate-cambricon-56e61b89edcf</x:v>
      </x:c>
      <x:c r="C281" s="19" t="str">
        <x:v>寒武纪</x:v>
      </x:c>
      <x:c r="D281" s="19" t="str">
        <x:v>权威媒体候选</x:v>
      </x:c>
      <x:c r="E281" s="19" t="str">
        <x:v>机器人行业资本化进程与投融资节奏均呈现加速态势，双创50ETF基金（588350）涨3.37%</x:v>
      </x:c>
      <x:c r="F281" s="19"/>
      <x:c r="G281" s="19"/>
      <x:c r="H281" s="19"/>
      <x:c r="I281" s="19" t="str">
        <x:v>2026-03-05</x:v>
      </x:c>
      <x:c r="J281" s="19" t="str">
        <x:v>https://www.p5w.net/roll/zqzx/202603/t20260305_6440721.htm</x:v>
      </x:c>
      <x:c r="K281" s="19" t="str">
        <x:v>https://www.p5w.net/roll/zqzx/202603/t20260305_6440721.htm</x:v>
      </x:c>
      <x:c r="L281" s="19"/>
      <x:c r="M281" s="19"/>
      <x:c r="N281" s="19"/>
      <x:c r="O281" s="19" t="str">
        <x:v>candidate-only</x:v>
      </x:c>
      <x:c r="P281" s="33" t="b">
        <x:v>0</x:v>
      </x:c>
      <x:c r="Q281" s="19" t="n">
        <x:v>1</x:v>
      </x:c>
      <x:c r="R281" s="19" t="str">
        <x:v>conditional-local-file-unavailable</x:v>
      </x:c>
    </x:row>
    <x:row r="282" ht="15" hidden="0" customHeight="1">
      <x:c r="A282" s="19" t="str">
        <x:v>R01–R04审计</x:v>
      </x:c>
      <x:c r="B282" s="19" t="str">
        <x:v>media-candidate-cambricon-20a018cf395c</x:v>
      </x:c>
      <x:c r="C282" s="19" t="str">
        <x:v>寒武纪</x:v>
      </x:c>
      <x:c r="D282" s="19" t="str">
        <x:v>权威媒体候选</x:v>
      </x:c>
      <x:c r="E282" s="19" t="str">
        <x:v>易方达消费电子ETF：政策与技术共振下的光电布局窗口</x:v>
      </x:c>
      <x:c r="F282" s="19"/>
      <x:c r="G282" s="19"/>
      <x:c r="H282" s="19"/>
      <x:c r="I282" s="19" t="str">
        <x:v>2026-03-05</x:v>
      </x:c>
      <x:c r="J282" s="19" t="str">
        <x:v>https://www.p5w.net/roll/pcj/202603/t20260305_6440694.htm</x:v>
      </x:c>
      <x:c r="K282" s="19" t="str">
        <x:v>https://www.p5w.net/roll/pcj/202603/t20260305_6440694.htm</x:v>
      </x:c>
      <x:c r="L282" s="19"/>
      <x:c r="M282" s="19"/>
      <x:c r="N282" s="19"/>
      <x:c r="O282" s="19" t="str">
        <x:v>candidate-only</x:v>
      </x:c>
      <x:c r="P282" s="33" t="b">
        <x:v>0</x:v>
      </x:c>
      <x:c r="Q282" s="19" t="n">
        <x:v>1</x:v>
      </x:c>
      <x:c r="R282" s="19" t="str">
        <x:v>conditional-local-file-unavailable</x:v>
      </x:c>
    </x:row>
    <x:row r="283" ht="15" hidden="0" customHeight="1">
      <x:c r="A283" s="19" t="str">
        <x:v>R01–R04审计</x:v>
      </x:c>
      <x:c r="B283" s="19" t="str">
        <x:v>media-candidate-cambricon-2d6becb03361</x:v>
      </x:c>
      <x:c r="C283" s="19" t="str">
        <x:v>寒武纪</x:v>
      </x:c>
      <x:c r="D283" s="19" t="str">
        <x:v>权威媒体候选</x:v>
      </x:c>
      <x:c r="E283" s="19" t="str">
        <x:v>易方达科创芯片设计ETF：把握存储芯片超级周期机遇</x:v>
      </x:c>
      <x:c r="F283" s="19"/>
      <x:c r="G283" s="19"/>
      <x:c r="H283" s="19"/>
      <x:c r="I283" s="19" t="str">
        <x:v>2026-03-04</x:v>
      </x:c>
      <x:c r="J283" s="19" t="str">
        <x:v>https://www.p5w.net/roll/pcj/202603/t20260304_6440487.htm</x:v>
      </x:c>
      <x:c r="K283" s="19" t="str">
        <x:v>https://www.p5w.net/roll/pcj/202603/t20260304_6440487.htm</x:v>
      </x:c>
      <x:c r="L283" s="19"/>
      <x:c r="M283" s="19"/>
      <x:c r="N283" s="19"/>
      <x:c r="O283" s="19" t="str">
        <x:v>candidate-only</x:v>
      </x:c>
      <x:c r="P283" s="33" t="b">
        <x:v>0</x:v>
      </x:c>
      <x:c r="Q283" s="19" t="n">
        <x:v>1</x:v>
      </x:c>
      <x:c r="R283" s="19" t="str">
        <x:v>conditional-local-file-unavailable</x:v>
      </x:c>
    </x:row>
    <x:row r="284" ht="15" hidden="0" customHeight="1">
      <x:c r="A284" s="19" t="str">
        <x:v>R01–R04审计</x:v>
      </x:c>
      <x:c r="B284" s="19" t="str">
        <x:v>media-candidate-cambricon-e69c312b08b2</x:v>
      </x:c>
      <x:c r="C284" s="19" t="str">
        <x:v>寒武纪</x:v>
      </x:c>
      <x:c r="D284" s="19" t="str">
        <x:v>权威媒体候选</x:v>
      </x:c>
      <x:c r="E284" s="19" t="str">
        <x:v>“十四五”资本市场高质量发展 A股三大维度全面跃迁</x:v>
      </x:c>
      <x:c r="F284" s="19"/>
      <x:c r="G284" s="19"/>
      <x:c r="H284" s="19"/>
      <x:c r="I284" s="19" t="str">
        <x:v>2026-03-03</x:v>
      </x:c>
      <x:c r="J284" s="19" t="str">
        <x:v>https://www.p5w.net/roll/stock/202603/t20260303_6440258.htm</x:v>
      </x:c>
      <x:c r="K284" s="19" t="str">
        <x:v>https://www.p5w.net/roll/stock/202603/t20260303_6440258.htm</x:v>
      </x:c>
      <x:c r="L284" s="19"/>
      <x:c r="M284" s="19"/>
      <x:c r="N284" s="19"/>
      <x:c r="O284" s="19" t="str">
        <x:v>candidate-only</x:v>
      </x:c>
      <x:c r="P284" s="33" t="b">
        <x:v>0</x:v>
      </x:c>
      <x:c r="Q284" s="19" t="n">
        <x:v>1</x:v>
      </x:c>
      <x:c r="R284" s="19" t="str">
        <x:v>conditional-local-file-unavailable</x:v>
      </x:c>
    </x:row>
    <x:row r="285" ht="15" hidden="0" customHeight="1">
      <x:c r="A285" s="19" t="str">
        <x:v>R01–R04审计</x:v>
      </x:c>
      <x:c r="B285" s="19" t="str">
        <x:v>media-candidate-cambricon-a32b5f4d4cee</x:v>
      </x:c>
      <x:c r="C285" s="19" t="str">
        <x:v>寒武纪</x:v>
      </x:c>
      <x:c r="D285" s="19" t="str">
        <x:v>权威媒体候选</x:v>
      </x:c>
      <x:c r="E285" s="19" t="str">
        <x:v>科创板公司去年净利润预计同比增长近三成</x:v>
      </x:c>
      <x:c r="F285" s="19"/>
      <x:c r="G285" s="19"/>
      <x:c r="H285" s="19"/>
      <x:c r="I285" s="19" t="str">
        <x:v>2026-03-03</x:v>
      </x:c>
      <x:c r="J285" s="19" t="str">
        <x:v>https://www.p5w.net/roll/stock/202603/t20260303_6440244.htm</x:v>
      </x:c>
      <x:c r="K285" s="19" t="str">
        <x:v>https://www.p5w.net/roll/stock/202603/t20260303_6440244.htm</x:v>
      </x:c>
      <x:c r="L285" s="19"/>
      <x:c r="M285" s="19"/>
      <x:c r="N285" s="19"/>
      <x:c r="O285" s="19" t="str">
        <x:v>candidate-only</x:v>
      </x:c>
      <x:c r="P285" s="33" t="b">
        <x:v>0</x:v>
      </x:c>
      <x:c r="Q285" s="19" t="n">
        <x:v>1</x:v>
      </x:c>
      <x:c r="R285" s="19" t="str">
        <x:v>conditional-local-file-unavailable</x:v>
      </x:c>
    </x:row>
    <x:row r="286" ht="15" hidden="0" customHeight="1">
      <x:c r="A286" s="19" t="str">
        <x:v>R01–R04审计</x:v>
      </x:c>
      <x:c r="B286" s="19" t="str">
        <x:v>media-candidate-cambricon-843264ccafce</x:v>
      </x:c>
      <x:c r="C286" s="19" t="str">
        <x:v>寒武纪</x:v>
      </x:c>
      <x:c r="D286" s="19" t="str">
        <x:v>权威媒体候选</x:v>
      </x:c>
      <x:c r="E286" s="19" t="str">
        <x:v>易方达科创人工智能ETF：把握AI产业爆发核心机遇</x:v>
      </x:c>
      <x:c r="F286" s="19"/>
      <x:c r="G286" s="19"/>
      <x:c r="H286" s="19"/>
      <x:c r="I286" s="19" t="str">
        <x:v>2026-02-28</x:v>
      </x:c>
      <x:c r="J286" s="19" t="str">
        <x:v>https://www.p5w.net/roll/pcj/202602/t20260228_6439900.htm</x:v>
      </x:c>
      <x:c r="K286" s="19" t="str">
        <x:v>https://www.p5w.net/roll/pcj/202602/t20260228_6439900.htm</x:v>
      </x:c>
      <x:c r="L286" s="19"/>
      <x:c r="M286" s="19"/>
      <x:c r="N286" s="19"/>
      <x:c r="O286" s="19" t="str">
        <x:v>candidate-only</x:v>
      </x:c>
      <x:c r="P286" s="33" t="b">
        <x:v>0</x:v>
      </x:c>
      <x:c r="Q286" s="19" t="n">
        <x:v>1</x:v>
      </x:c>
      <x:c r="R286" s="19" t="str">
        <x:v>conditional-local-file-unavailable</x:v>
      </x:c>
    </x:row>
    <x:row r="287" ht="21.600000381469727" hidden="0" customHeight="1">
      <x:c r="A287" s="19" t="str">
        <x:v>R01–R04审计</x:v>
      </x:c>
      <x:c r="B287" s="19" t="str">
        <x:v>media-candidate-cambricon-e069779e60ad</x:v>
      </x:c>
      <x:c r="C287" s="19" t="str">
        <x:v>寒武纪</x:v>
      </x:c>
      <x:c r="D287" s="19" t="str">
        <x:v>权威媒体候选</x:v>
      </x:c>
      <x:c r="E287" s="19" t="str">
        <x:v>英伟达四季度营收达681亿美元，同比增长73%再创新高，数字经济ETF（560800）涨1.32%</x:v>
      </x:c>
      <x:c r="F287" s="19"/>
      <x:c r="G287" s="19"/>
      <x:c r="H287" s="19"/>
      <x:c r="I287" s="19" t="str">
        <x:v>2026-02-26</x:v>
      </x:c>
      <x:c r="J287" s="19" t="str">
        <x:v>https://www.p5w.net/roll/zqzx/202602/t20260226_6439610.htm</x:v>
      </x:c>
      <x:c r="K287" s="19" t="str">
        <x:v>https://www.p5w.net/roll/zqzx/202602/t20260226_6439610.htm</x:v>
      </x:c>
      <x:c r="L287" s="19"/>
      <x:c r="M287" s="19"/>
      <x:c r="N287" s="19"/>
      <x:c r="O287" s="19" t="str">
        <x:v>candidate-only</x:v>
      </x:c>
      <x:c r="P287" s="33" t="b">
        <x:v>0</x:v>
      </x:c>
      <x:c r="Q287" s="19" t="n">
        <x:v>1</x:v>
      </x:c>
      <x:c r="R287" s="19" t="str">
        <x:v>conditional-local-file-unavailable</x:v>
      </x:c>
    </x:row>
    <x:row r="288" ht="15" hidden="0" customHeight="1">
      <x:c r="A288" s="19" t="str">
        <x:v>R01–R04审计</x:v>
      </x:c>
      <x:c r="B288" s="19" t="str">
        <x:v>media-candidate-cambricon-0c66ef102ad1</x:v>
      </x:c>
      <x:c r="C288" s="19" t="str">
        <x:v>寒武纪</x:v>
      </x:c>
      <x:c r="D288" s="19" t="str">
        <x:v>权威媒体候选</x:v>
      </x:c>
      <x:c r="E288" s="19" t="str">
        <x:v>机器人武术靠“脑”也靠“芯”，科创AI与科创芯片指数如何选择？</x:v>
      </x:c>
      <x:c r="F288" s="19"/>
      <x:c r="G288" s="19"/>
      <x:c r="H288" s="19"/>
      <x:c r="I288" s="19" t="str">
        <x:v>2026-02-24</x:v>
      </x:c>
      <x:c r="J288" s="19" t="str">
        <x:v>https://www.p5w.net/roll/zqzx/202602/t20260224_6439209.htm</x:v>
      </x:c>
      <x:c r="K288" s="19" t="str">
        <x:v>https://www.p5w.net/roll/zqzx/202602/t20260224_6439209.htm</x:v>
      </x:c>
      <x:c r="L288" s="19"/>
      <x:c r="M288" s="19"/>
      <x:c r="N288" s="19"/>
      <x:c r="O288" s="19" t="str">
        <x:v>candidate-only</x:v>
      </x:c>
      <x:c r="P288" s="33" t="b">
        <x:v>0</x:v>
      </x:c>
      <x:c r="Q288" s="19" t="n">
        <x:v>1</x:v>
      </x:c>
      <x:c r="R288" s="19" t="str">
        <x:v>conditional-local-file-unavailable</x:v>
      </x:c>
    </x:row>
    <x:row r="289" ht="15" hidden="0" customHeight="1">
      <x:c r="A289" s="19" t="str">
        <x:v>R01–R04审计</x:v>
      </x:c>
      <x:c r="B289" s="19" t="str">
        <x:v>media-candidate-cambricon-07088a176027</x:v>
      </x:c>
      <x:c r="C289" s="19" t="str">
        <x:v>寒武纪</x:v>
      </x:c>
      <x:c r="D289" s="19" t="str">
        <x:v>权威媒体候选</x:v>
      </x:c>
      <x:c r="E289" s="19" t="str">
        <x:v>AI估值担忧再次扩散，黄仁勋驳斥恐慌观点，双创50ETF基金（588350）涨2.35%</x:v>
      </x:c>
      <x:c r="F289" s="19"/>
      <x:c r="G289" s="19"/>
      <x:c r="H289" s="19"/>
      <x:c r="I289" s="19" t="str">
        <x:v>2026-02-09</x:v>
      </x:c>
      <x:c r="J289" s="19" t="str">
        <x:v>https://www.p5w.net/roll/zqzx/202602/t20260209_6437940.htm</x:v>
      </x:c>
      <x:c r="K289" s="19" t="str">
        <x:v>https://www.p5w.net/roll/zqzx/202602/t20260209_6437940.htm</x:v>
      </x:c>
      <x:c r="L289" s="19"/>
      <x:c r="M289" s="19"/>
      <x:c r="N289" s="19"/>
      <x:c r="O289" s="19" t="str">
        <x:v>candidate-only</x:v>
      </x:c>
      <x:c r="P289" s="33" t="b">
        <x:v>0</x:v>
      </x:c>
      <x:c r="Q289" s="19" t="n">
        <x:v>1</x:v>
      </x:c>
      <x:c r="R289" s="19" t="str">
        <x:v>conditional-local-file-unavailable</x:v>
      </x:c>
    </x:row>
    <x:row r="290" ht="15" hidden="0" customHeight="1">
      <x:c r="A290" s="19" t="str">
        <x:v>R01–R04审计</x:v>
      </x:c>
      <x:c r="B290" s="19" t="str">
        <x:v>media-candidate-cambricon-e333f1fda877</x:v>
      </x:c>
      <x:c r="C290" s="19" t="str">
        <x:v>寒武纪</x:v>
      </x:c>
      <x:c r="D290" s="19" t="str">
        <x:v>权威媒体候选</x:v>
      </x:c>
      <x:c r="E290" s="19" t="str">
        <x:v>台积电2nm产能被订满！科创人工智能ETF华夏(589010)上行，芯原股份领涨8.96%</x:v>
      </x:c>
      <x:c r="F290" s="19"/>
      <x:c r="G290" s="19"/>
      <x:c r="H290" s="19"/>
      <x:c r="I290" s="19" t="str">
        <x:v>2026-02-03</x:v>
      </x:c>
      <x:c r="J290" s="19" t="str">
        <x:v>https://www.p5w.net/roll/zqzx/202602/t20260203_6437095.htm</x:v>
      </x:c>
      <x:c r="K290" s="19" t="str">
        <x:v>https://www.p5w.net/roll/zqzx/202602/t20260203_6437095.htm</x:v>
      </x:c>
      <x:c r="L290" s="19"/>
      <x:c r="M290" s="19"/>
      <x:c r="N290" s="19"/>
      <x:c r="O290" s="19" t="str">
        <x:v>candidate-only</x:v>
      </x:c>
      <x:c r="P290" s="33" t="b">
        <x:v>0</x:v>
      </x:c>
      <x:c r="Q290" s="19" t="n">
        <x:v>1</x:v>
      </x:c>
      <x:c r="R290" s="19" t="str">
        <x:v>conditional-local-file-unavailable</x:v>
      </x:c>
    </x:row>
    <x:row r="291" ht="15" hidden="0" customHeight="1">
      <x:c r="A291" s="19" t="str">
        <x:v>R01–R04审计</x:v>
      </x:c>
      <x:c r="B291" s="19" t="str">
        <x:v>media-candidate-cambricon-c1871f24c4d1</x:v>
      </x:c>
      <x:c r="C291" s="19" t="str">
        <x:v>寒武纪</x:v>
      </x:c>
      <x:c r="D291" s="19" t="str">
        <x:v>权威媒体候选</x:v>
      </x:c>
      <x:c r="E291" s="19" t="str">
        <x:v>13万股民喜极而泣：“7000亿”AI龙头，业绩爆了！</x:v>
      </x:c>
      <x:c r="F291" s="19"/>
      <x:c r="G291" s="19"/>
      <x:c r="H291" s="19"/>
      <x:c r="I291" s="19" t="str">
        <x:v>2026-02-01</x:v>
      </x:c>
      <x:c r="J291" s="19" t="str">
        <x:v>https://www.p5w.net/roll/pcj/202602/t20260201_6436804.htm</x:v>
      </x:c>
      <x:c r="K291" s="19" t="str">
        <x:v>https://www.p5w.net/roll/pcj/202602/t20260201_6436804.htm</x:v>
      </x:c>
      <x:c r="L291" s="19"/>
      <x:c r="M291" s="19"/>
      <x:c r="N291" s="19"/>
      <x:c r="O291" s="19" t="str">
        <x:v>candidate-only</x:v>
      </x:c>
      <x:c r="P291" s="33" t="b">
        <x:v>0</x:v>
      </x:c>
      <x:c r="Q291" s="19" t="n">
        <x:v>1</x:v>
      </x:c>
      <x:c r="R291" s="19" t="str">
        <x:v>conditional-local-file-unavailable</x:v>
      </x:c>
    </x:row>
    <x:row r="292" ht="15" hidden="0" customHeight="1">
      <x:c r="A292" s="19" t="str">
        <x:v>R01–R04审计</x:v>
      </x:c>
      <x:c r="B292" s="19" t="str">
        <x:v>media-candidate-cambricon-9104816196b7</x:v>
      </x:c>
      <x:c r="C292" s="19" t="str">
        <x:v>寒武纪</x:v>
      </x:c>
      <x:c r="D292" s="19" t="str">
        <x:v>权威媒体候选</x:v>
      </x:c>
      <x:c r="E292" s="19" t="str">
        <x:v>传统消费正淡出公募十大重仓股 何处寻觅新的“长坡厚雪”</x:v>
      </x:c>
      <x:c r="F292" s="19"/>
      <x:c r="G292" s="19"/>
      <x:c r="H292" s="19"/>
      <x:c r="I292" s="19" t="str">
        <x:v>2026-01-26</x:v>
      </x:c>
      <x:c r="J292" s="19" t="str">
        <x:v>https://www.p5w.net/roll/fund/202601/t20260126_6435520.htm</x:v>
      </x:c>
      <x:c r="K292" s="19" t="str">
        <x:v>https://www.p5w.net/roll/fund/202601/t20260126_6435520.htm</x:v>
      </x:c>
      <x:c r="L292" s="19"/>
      <x:c r="M292" s="19"/>
      <x:c r="N292" s="19"/>
      <x:c r="O292" s="19" t="str">
        <x:v>candidate-only</x:v>
      </x:c>
      <x:c r="P292" s="33" t="b">
        <x:v>0</x:v>
      </x:c>
      <x:c r="Q292" s="19" t="n">
        <x:v>1</x:v>
      </x:c>
      <x:c r="R292" s="19" t="str">
        <x:v>conditional-local-file-unavailable</x:v>
      </x:c>
    </x:row>
    <x:row r="293" ht="15" hidden="0" customHeight="1">
      <x:c r="A293" s="19" t="str">
        <x:v>R01–R04审计</x:v>
      </x:c>
      <x:c r="B293" s="19" t="str">
        <x:v>media-candidate-cambricon-c16f2ece50f1</x:v>
      </x:c>
      <x:c r="C293" s="19" t="str">
        <x:v>寒武纪</x:v>
      </x:c>
      <x:c r="D293" s="19" t="str">
        <x:v>权威媒体候选</x:v>
      </x:c>
      <x:c r="E293" s="19" t="str">
        <x:v>罕见9连跌，历史第二次！上证50指数，后市怎么走？</x:v>
      </x:c>
      <x:c r="F293" s="19"/>
      <x:c r="G293" s="19"/>
      <x:c r="H293" s="19"/>
      <x:c r="I293" s="19" t="str">
        <x:v>2026-01-24</x:v>
      </x:c>
      <x:c r="J293" s="19" t="str">
        <x:v>https://www.p5w.net/roll/stock/202601/t20260124_6435420.htm</x:v>
      </x:c>
      <x:c r="K293" s="19" t="str">
        <x:v>https://www.p5w.net/roll/stock/202601/t20260124_6435420.htm</x:v>
      </x:c>
      <x:c r="L293" s="19"/>
      <x:c r="M293" s="19"/>
      <x:c r="N293" s="19"/>
      <x:c r="O293" s="19" t="str">
        <x:v>candidate-only</x:v>
      </x:c>
      <x:c r="P293" s="33" t="b">
        <x:v>0</x:v>
      </x:c>
      <x:c r="Q293" s="19" t="n">
        <x:v>1</x:v>
      </x:c>
      <x:c r="R293" s="19" t="str">
        <x:v>conditional-local-file-unavailable</x:v>
      </x:c>
    </x:row>
    <x:row r="294" ht="15" hidden="0" customHeight="1">
      <x:c r="A294" s="19" t="str">
        <x:v>R01–R04审计</x:v>
      </x:c>
      <x:c r="B294" s="19" t="str">
        <x:v>media-candidate-cambricon-327a49655d53</x:v>
      </x:c>
      <x:c r="C294" s="19" t="str">
        <x:v>寒武纪</x:v>
      </x:c>
      <x:c r="D294" s="19" t="str">
        <x:v>权威媒体候选</x:v>
      </x:c>
      <x:c r="E294" s="19" t="str">
        <x:v>“大资金”重仓股出炉！(名单)</x:v>
      </x:c>
      <x:c r="F294" s="19"/>
      <x:c r="G294" s="19"/>
      <x:c r="H294" s="19"/>
      <x:c r="I294" s="19" t="str">
        <x:v>2026-01-23</x:v>
      </x:c>
      <x:c r="J294" s="19" t="str">
        <x:v>https://www.p5w.net/roll/zqzx/202601/t20260123_6435292.htm</x:v>
      </x:c>
      <x:c r="K294" s="19" t="str">
        <x:v>https://www.p5w.net/roll/zqzx/202601/t20260123_6435292.htm</x:v>
      </x:c>
      <x:c r="L294" s="19"/>
      <x:c r="M294" s="19"/>
      <x:c r="N294" s="19"/>
      <x:c r="O294" s="19" t="str">
        <x:v>candidate-only</x:v>
      </x:c>
      <x:c r="P294" s="33" t="b">
        <x:v>0</x:v>
      </x:c>
      <x:c r="Q294" s="19" t="n">
        <x:v>1</x:v>
      </x:c>
      <x:c r="R294" s="19" t="str">
        <x:v>conditional-local-file-unavailable</x:v>
      </x:c>
    </x:row>
    <x:row r="295" ht="15" hidden="0" customHeight="1">
      <x:c r="A295" s="19" t="str">
        <x:v>R01–R04审计</x:v>
      </x:c>
      <x:c r="B295" s="19" t="str">
        <x:v>media-candidate-cambricon-e7df041cc56e</x:v>
      </x:c>
      <x:c r="C295" s="19" t="str">
        <x:v>寒武纪</x:v>
      </x:c>
      <x:c r="D295" s="19" t="str">
        <x:v>权威媒体候选</x:v>
      </x:c>
      <x:c r="E295" s="19" t="str">
        <x:v>公募主动权益重仓股出炉 中际旭创登顶</x:v>
      </x:c>
      <x:c r="F295" s="19"/>
      <x:c r="G295" s="19"/>
      <x:c r="H295" s="19"/>
      <x:c r="I295" s="19" t="str">
        <x:v>2026-01-23</x:v>
      </x:c>
      <x:c r="J295" s="19" t="str">
        <x:v>https://www.p5w.net/roll/stock/202601/t20260123_6435179.htm</x:v>
      </x:c>
      <x:c r="K295" s="19" t="str">
        <x:v>https://www.p5w.net/roll/stock/202601/t20260123_6435179.htm</x:v>
      </x:c>
      <x:c r="L295" s="19"/>
      <x:c r="M295" s="19"/>
      <x:c r="N295" s="19"/>
      <x:c r="O295" s="19" t="str">
        <x:v>candidate-only</x:v>
      </x:c>
      <x:c r="P295" s="33" t="b">
        <x:v>0</x:v>
      </x:c>
      <x:c r="Q295" s="19" t="n">
        <x:v>1</x:v>
      </x:c>
      <x:c r="R295" s="19" t="str">
        <x:v>conditional-local-file-unavailable</x:v>
      </x:c>
    </x:row>
    <x:row r="296" ht="15" hidden="0" customHeight="1">
      <x:c r="A296" s="19" t="str">
        <x:v>R01–R04审计</x:v>
      </x:c>
      <x:c r="B296" s="19" t="str">
        <x:v>media-candidate-cambricon-3b20aa41841a</x:v>
      </x:c>
      <x:c r="C296" s="19" t="str">
        <x:v>寒武纪</x:v>
      </x:c>
      <x:c r="D296" s="19" t="str">
        <x:v>权威媒体候选</x:v>
      </x:c>
      <x:c r="E296" s="19" t="str">
        <x:v>2025年基金四季报披露完毕 基金规模突破37万亿 四季度加仓有色化工非银金融</x:v>
      </x:c>
      <x:c r="F296" s="19"/>
      <x:c r="G296" s="19"/>
      <x:c r="H296" s="19"/>
      <x:c r="I296" s="19" t="str">
        <x:v>2026-01-23</x:v>
      </x:c>
      <x:c r="J296" s="19" t="str">
        <x:v>https://www.p5w.net/roll/fund/202601/t20260123_6435178.htm</x:v>
      </x:c>
      <x:c r="K296" s="19" t="str">
        <x:v>https://www.p5w.net/roll/fund/202601/t20260123_6435178.htm</x:v>
      </x:c>
      <x:c r="L296" s="19"/>
      <x:c r="M296" s="19"/>
      <x:c r="N296" s="19"/>
      <x:c r="O296" s="19" t="str">
        <x:v>candidate-only</x:v>
      </x:c>
      <x:c r="P296" s="33" t="b">
        <x:v>0</x:v>
      </x:c>
      <x:c r="Q296" s="19" t="n">
        <x:v>1</x:v>
      </x:c>
      <x:c r="R296" s="19" t="str">
        <x:v>conditional-local-file-unavailable</x:v>
      </x:c>
    </x:row>
    <x:row r="297" ht="15" hidden="0" customHeight="1">
      <x:c r="A297" s="19" t="str">
        <x:v>R01–R04审计</x:v>
      </x:c>
      <x:c r="B297" s="19" t="str">
        <x:v>media-candidate-cambricon-1bb2f2bb9627</x:v>
      </x:c>
      <x:c r="C297" s="19" t="str">
        <x:v>寒武纪</x:v>
      </x:c>
      <x:c r="D297" s="19" t="str">
        <x:v>权威媒体候选</x:v>
      </x:c>
      <x:c r="E297" s="19" t="str">
        <x:v>基金经理最新调仓路径显现，关注确定性与安全边际</x:v>
      </x:c>
      <x:c r="F297" s="19"/>
      <x:c r="G297" s="19"/>
      <x:c r="H297" s="19"/>
      <x:c r="I297" s="19" t="str">
        <x:v>2026-01-22</x:v>
      </x:c>
      <x:c r="J297" s="19" t="str">
        <x:v>https://www.p5w.net/roll/zqzx/202601/t20260122_6435097.htm</x:v>
      </x:c>
      <x:c r="K297" s="19" t="str">
        <x:v>https://www.p5w.net/roll/zqzx/202601/t20260122_6435097.htm</x:v>
      </x:c>
      <x:c r="L297" s="19"/>
      <x:c r="M297" s="19"/>
      <x:c r="N297" s="19"/>
      <x:c r="O297" s="19" t="str">
        <x:v>candidate-only</x:v>
      </x:c>
      <x:c r="P297" s="33" t="b">
        <x:v>0</x:v>
      </x:c>
      <x:c r="Q297" s="19" t="n">
        <x:v>1</x:v>
      </x:c>
      <x:c r="R297" s="19" t="str">
        <x:v>conditional-local-file-unavailable</x:v>
      </x:c>
    </x:row>
    <x:row r="298" ht="15" hidden="0" customHeight="1">
      <x:c r="A298" s="19" t="str">
        <x:v>R01–R04审计</x:v>
      </x:c>
      <x:c r="B298" s="19" t="str">
        <x:v>media-candidate-cambricon-4aaf12a7ce32</x:v>
      </x:c>
      <x:c r="C298" s="19" t="str">
        <x:v>寒武纪</x:v>
      </x:c>
      <x:c r="D298" s="19" t="str">
        <x:v>权威媒体候选</x:v>
      </x:c>
      <x:c r="E298" s="19" t="str">
        <x:v>易方达科创50ETF布局科技创新核心资产</x:v>
      </x:c>
      <x:c r="F298" s="19"/>
      <x:c r="G298" s="19"/>
      <x:c r="H298" s="19"/>
      <x:c r="I298" s="19" t="str">
        <x:v>2026-01-22</x:v>
      </x:c>
      <x:c r="J298" s="19" t="str">
        <x:v>https://www.p5w.net/roll/pcj/202601/t20260122_6435006.htm</x:v>
      </x:c>
      <x:c r="K298" s="19" t="str">
        <x:v>https://www.p5w.net/roll/pcj/202601/t20260122_6435006.htm</x:v>
      </x:c>
      <x:c r="L298" s="19"/>
      <x:c r="M298" s="19"/>
      <x:c r="N298" s="19"/>
      <x:c r="O298" s="19" t="str">
        <x:v>candidate-only</x:v>
      </x:c>
      <x:c r="P298" s="33" t="b">
        <x:v>0</x:v>
      </x:c>
      <x:c r="Q298" s="19" t="n">
        <x:v>1</x:v>
      </x:c>
      <x:c r="R298" s="19" t="str">
        <x:v>conditional-local-file-unavailable</x:v>
      </x:c>
    </x:row>
    <x:row r="299" ht="15" hidden="0" customHeight="1">
      <x:c r="A299" s="19" t="str">
        <x:v>R01–R04审计</x:v>
      </x:c>
      <x:c r="B299" s="19" t="str">
        <x:v>media-candidate-cambricon-f88b6da9d199</x:v>
      </x:c>
      <x:c r="C299" s="19" t="str">
        <x:v>寒武纪</x:v>
      </x:c>
      <x:c r="D299" s="19" t="str">
        <x:v>权威媒体候选</x:v>
      </x:c>
      <x:c r="E299" s="19" t="str">
        <x:v>突发！大佬最新减仓了...</x:v>
      </x:c>
      <x:c r="F299" s="19"/>
      <x:c r="G299" s="19"/>
      <x:c r="H299" s="19"/>
      <x:c r="I299" s="19" t="str">
        <x:v>2026-01-21</x:v>
      </x:c>
      <x:c r="J299" s="19" t="str">
        <x:v>https://www.p5w.net/roll/zqzx/202601/t20260121_6434895.htm</x:v>
      </x:c>
      <x:c r="K299" s="19" t="str">
        <x:v>https://www.p5w.net/roll/zqzx/202601/t20260121_6434895.htm</x:v>
      </x:c>
      <x:c r="L299" s="19"/>
      <x:c r="M299" s="19"/>
      <x:c r="N299" s="19"/>
      <x:c r="O299" s="19" t="str">
        <x:v>candidate-only</x:v>
      </x:c>
      <x:c r="P299" s="33" t="b">
        <x:v>0</x:v>
      </x:c>
      <x:c r="Q299" s="19" t="n">
        <x:v>1</x:v>
      </x:c>
      <x:c r="R299" s="19" t="str">
        <x:v>conditional-local-file-unavailable</x:v>
      </x:c>
    </x:row>
    <x:row r="300" ht="15" hidden="0" customHeight="1">
      <x:c r="A300" s="19" t="str">
        <x:v>R01–R04审计</x:v>
      </x:c>
      <x:c r="B300" s="19" t="str">
        <x:v>media-candidate-cambricon-16498286a70b</x:v>
      </x:c>
      <x:c r="C300" s="19" t="str">
        <x:v>寒武纪</x:v>
      </x:c>
      <x:c r="D300" s="19" t="str">
        <x:v>权威媒体候选</x:v>
      </x:c>
      <x:c r="E300" s="19" t="str">
        <x:v>存储芯片短缺加剧，AI服务器需求刚性增长，双创50ETF基金（588350）涨2.40%</x:v>
      </x:c>
      <x:c r="F300" s="19"/>
      <x:c r="G300" s="19"/>
      <x:c r="H300" s="19"/>
      <x:c r="I300" s="19" t="str">
        <x:v>2026-01-21</x:v>
      </x:c>
      <x:c r="J300" s="19" t="str">
        <x:v>https://www.p5w.net/roll/zqzx/202601/t20260121_6434858.htm</x:v>
      </x:c>
      <x:c r="K300" s="19" t="str">
        <x:v>https://www.p5w.net/roll/zqzx/202601/t20260121_6434858.htm</x:v>
      </x:c>
      <x:c r="L300" s="19"/>
      <x:c r="M300" s="19"/>
      <x:c r="N300" s="19"/>
      <x:c r="O300" s="19" t="str">
        <x:v>candidate-only</x:v>
      </x:c>
      <x:c r="P300" s="33" t="b">
        <x:v>0</x:v>
      </x:c>
      <x:c r="Q300" s="19" t="n">
        <x:v>1</x:v>
      </x:c>
      <x:c r="R300" s="19" t="str">
        <x:v>conditional-local-file-unavailable</x:v>
      </x:c>
    </x:row>
    <x:row r="301" ht="15" hidden="0" customHeight="1">
      <x:c r="A301" s="19" t="str">
        <x:v>R01–R04审计</x:v>
      </x:c>
      <x:c r="B301" s="19" t="str">
        <x:v>media-candidate-cambricon-24cd44009e2f</x:v>
      </x:c>
      <x:c r="C301" s="19" t="str">
        <x:v>寒武纪</x:v>
      </x:c>
      <x:c r="D301" s="19" t="str">
        <x:v>权威媒体候选</x:v>
      </x:c>
      <x:c r="E301" s="19" t="str">
        <x:v>AI，刷屏！3只A股霸榜前三，中国人工智能50强发布！</x:v>
      </x:c>
      <x:c r="F301" s="19"/>
      <x:c r="G301" s="19"/>
      <x:c r="H301" s="19"/>
      <x:c r="I301" s="19" t="str">
        <x:v>2026-01-19</x:v>
      </x:c>
      <x:c r="J301" s="19" t="str">
        <x:v>https://www.p5w.net/roll/stock/202601/t20260119_6434525.htm</x:v>
      </x:c>
      <x:c r="K301" s="19" t="str">
        <x:v>https://www.p5w.net/roll/stock/202601/t20260119_6434525.htm</x:v>
      </x:c>
      <x:c r="L301" s="19"/>
      <x:c r="M301" s="19"/>
      <x:c r="N301" s="19"/>
      <x:c r="O301" s="19" t="str">
        <x:v>candidate-only</x:v>
      </x:c>
      <x:c r="P301" s="33" t="b">
        <x:v>0</x:v>
      </x:c>
      <x:c r="Q301" s="19" t="n">
        <x:v>1</x:v>
      </x:c>
      <x:c r="R301" s="19" t="str">
        <x:v>conditional-local-file-unavailable</x:v>
      </x:c>
    </x:row>
    <x:row r="302" ht="15" hidden="0" customHeight="1">
      <x:c r="A302" s="19" t="str">
        <x:v>R01–R04审计</x:v>
      </x:c>
      <x:c r="B302" s="19" t="str">
        <x:v>media-candidate-cambricon-80e688f13e42</x:v>
      </x:c>
      <x:c r="C302" s="19" t="str">
        <x:v>寒武纪</x:v>
      </x:c>
      <x:c r="D302" s="19" t="str">
        <x:v>权威媒体候选</x:v>
      </x:c>
      <x:c r="E302" s="19" t="str">
        <x:v>千问APP打通“办事”闭环， AI不再是孤立的“最强大脑”？</x:v>
      </x:c>
      <x:c r="F302" s="19"/>
      <x:c r="G302" s="19"/>
      <x:c r="H302" s="19"/>
      <x:c r="I302" s="19" t="str">
        <x:v>2026-01-19</x:v>
      </x:c>
      <x:c r="J302" s="19" t="str">
        <x:v>https://www.p5w.net/roll/zqzx/202601/t20260119_6434399.htm</x:v>
      </x:c>
      <x:c r="K302" s="19" t="str">
        <x:v>https://www.p5w.net/roll/zqzx/202601/t20260119_6434399.htm</x:v>
      </x:c>
      <x:c r="L302" s="19"/>
      <x:c r="M302" s="19"/>
      <x:c r="N302" s="19"/>
      <x:c r="O302" s="19" t="str">
        <x:v>candidate-only</x:v>
      </x:c>
      <x:c r="P302" s="33" t="b">
        <x:v>0</x:v>
      </x:c>
      <x:c r="Q302" s="19" t="n">
        <x:v>1</x:v>
      </x:c>
      <x:c r="R302" s="19" t="str">
        <x:v>conditional-local-file-unavailable</x:v>
      </x:c>
    </x:row>
    <x:row r="303" ht="15" hidden="0" customHeight="1">
      <x:c r="A303" s="19" t="str">
        <x:v>R01–R04审计</x:v>
      </x:c>
      <x:c r="B303" s="19" t="str">
        <x:v>media-candidate-cambricon-80e1097f8ad8</x:v>
      </x:c>
      <x:c r="C303" s="19" t="str">
        <x:v>寒武纪</x:v>
      </x:c>
      <x:c r="D303" s="19" t="str">
        <x:v>权威媒体候选</x:v>
      </x:c>
      <x:c r="E303" s="19" t="str">
        <x:v>易方达芯片产业ETF布局存储芯片新周期</x:v>
      </x:c>
      <x:c r="F303" s="19"/>
      <x:c r="G303" s="19"/>
      <x:c r="H303" s="19"/>
      <x:c r="I303" s="19" t="str">
        <x:v>2026-01-16</x:v>
      </x:c>
      <x:c r="J303" s="19" t="str">
        <x:v>https://www.p5w.net/roll/pcj/202601/t20260116_6434110.htm</x:v>
      </x:c>
      <x:c r="K303" s="19" t="str">
        <x:v>https://www.p5w.net/roll/pcj/202601/t20260116_6434110.htm</x:v>
      </x:c>
      <x:c r="L303" s="19"/>
      <x:c r="M303" s="19"/>
      <x:c r="N303" s="19"/>
      <x:c r="O303" s="19" t="str">
        <x:v>candidate-only</x:v>
      </x:c>
      <x:c r="P303" s="33" t="b">
        <x:v>0</x:v>
      </x:c>
      <x:c r="Q303" s="19" t="n">
        <x:v>1</x:v>
      </x:c>
      <x:c r="R303" s="19" t="str">
        <x:v>conditional-local-file-unavailable</x:v>
      </x:c>
    </x:row>
    <x:row r="304" ht="15" hidden="0" customHeight="1">
      <x:c r="A304" s="19" t="str">
        <x:v>R01–R04审计</x:v>
      </x:c>
      <x:c r="B304" s="19" t="str">
        <x:v>media-candidate-cambricon-21fd7322a681</x:v>
      </x:c>
      <x:c r="C304" s="19" t="str">
        <x:v>寒武纪</x:v>
      </x:c>
      <x:c r="D304" s="19" t="str">
        <x:v>权威媒体候选</x:v>
      </x:c>
      <x:c r="E304" s="19" t="str">
        <x:v>“元萝卜”会下棋，网球教练是AI？阿里云展颠覆对机器人的想象</x:v>
      </x:c>
      <x:c r="F304" s="19"/>
      <x:c r="G304" s="19"/>
      <x:c r="H304" s="19"/>
      <x:c r="I304" s="19" t="str">
        <x:v>2026-01-15</x:v>
      </x:c>
      <x:c r="J304" s="19" t="str">
        <x:v>https://www.p5w.net/roll/zqzx/202601/t20260115_6433894.htm</x:v>
      </x:c>
      <x:c r="K304" s="19" t="str">
        <x:v>https://www.p5w.net/roll/zqzx/202601/t20260115_6433894.htm</x:v>
      </x:c>
      <x:c r="L304" s="19"/>
      <x:c r="M304" s="19"/>
      <x:c r="N304" s="19"/>
      <x:c r="O304" s="19" t="str">
        <x:v>candidate-only</x:v>
      </x:c>
      <x:c r="P304" s="33" t="b">
        <x:v>0</x:v>
      </x:c>
      <x:c r="Q304" s="19" t="n">
        <x:v>1</x:v>
      </x:c>
      <x:c r="R304" s="19" t="str">
        <x:v>conditional-local-file-unavailable</x:v>
      </x:c>
    </x:row>
    <x:row r="305" ht="21.600000381469727" hidden="0" customHeight="1">
      <x:c r="A305" s="19" t="str">
        <x:v>R01–R04审计</x:v>
      </x:c>
      <x:c r="B305" s="19" t="str">
        <x:v>media-candidate-cambricon-c50bd2893d17</x:v>
      </x:c>
      <x:c r="C305" s="19" t="str">
        <x:v>寒武纪</x:v>
      </x:c>
      <x:c r="D305" s="19" t="str">
        <x:v>权威媒体候选</x:v>
      </x:c>
      <x:c r="E305" s="19" t="str">
        <x:v>科技主题方兴未艾，一键布局成长资产，兴业中证科技优势成长50策略ETF（认购代码：563563）火热发售中</x:v>
      </x:c>
      <x:c r="F305" s="19"/>
      <x:c r="G305" s="19"/>
      <x:c r="H305" s="19"/>
      <x:c r="I305" s="19" t="str">
        <x:v>2026-01-15</x:v>
      </x:c>
      <x:c r="J305" s="19" t="str">
        <x:v>https://www.p5w.net/roll/zqzx/202601/t20260115_6433879.htm</x:v>
      </x:c>
      <x:c r="K305" s="19" t="str">
        <x:v>https://www.p5w.net/roll/zqzx/202601/t20260115_6433879.htm</x:v>
      </x:c>
      <x:c r="L305" s="19"/>
      <x:c r="M305" s="19"/>
      <x:c r="N305" s="19"/>
      <x:c r="O305" s="19" t="str">
        <x:v>candidate-only</x:v>
      </x:c>
      <x:c r="P305" s="33" t="b">
        <x:v>0</x:v>
      </x:c>
      <x:c r="Q305" s="19" t="n">
        <x:v>1</x:v>
      </x:c>
      <x:c r="R305" s="19" t="str">
        <x:v>conditional-local-file-unavailable</x:v>
      </x:c>
    </x:row>
    <x:row r="306" ht="15" hidden="0" customHeight="1">
      <x:c r="A306" s="19" t="str">
        <x:v>R01–R04审计</x:v>
      </x:c>
      <x:c r="B306" s="19" t="str">
        <x:v>media-candidate-cambricon-6bc68c55f7fd</x:v>
      </x:c>
      <x:c r="C306" s="19" t="str">
        <x:v>寒武纪</x:v>
      </x:c>
      <x:c r="D306" s="19" t="str">
        <x:v>权威媒体候选</x:v>
      </x:c>
      <x:c r="E306" s="19" t="str">
        <x:v>从基建到应用大爆发，AI或进入下半场</x:v>
      </x:c>
      <x:c r="F306" s="19"/>
      <x:c r="G306" s="19"/>
      <x:c r="H306" s="19"/>
      <x:c r="I306" s="19" t="str">
        <x:v>2026-01-15</x:v>
      </x:c>
      <x:c r="J306" s="19" t="str">
        <x:v>https://www.p5w.net/roll/zqzx/202601/t20260115_6433875.htm</x:v>
      </x:c>
      <x:c r="K306" s="19" t="str">
        <x:v>https://www.p5w.net/roll/zqzx/202601/t20260115_6433875.htm</x:v>
      </x:c>
      <x:c r="L306" s="19"/>
      <x:c r="M306" s="19"/>
      <x:c r="N306" s="19"/>
      <x:c r="O306" s="19" t="str">
        <x:v>candidate-only</x:v>
      </x:c>
      <x:c r="P306" s="33" t="b">
        <x:v>0</x:v>
      </x:c>
      <x:c r="Q306" s="19" t="n">
        <x:v>1</x:v>
      </x:c>
      <x:c r="R306" s="19" t="str">
        <x:v>conditional-local-file-unavailable</x:v>
      </x:c>
    </x:row>
    <x:row r="307" ht="15" hidden="0" customHeight="1">
      <x:c r="A307" s="19" t="str">
        <x:v>R01–R04审计</x:v>
      </x:c>
      <x:c r="B307" s="19" t="str">
        <x:v>media-candidate-cambricon-f7597f6296be</x:v>
      </x:c>
      <x:c r="C307" s="19" t="str">
        <x:v>寒武纪</x:v>
      </x:c>
      <x:c r="D307" s="19" t="str">
        <x:v>权威媒体候选</x:v>
      </x:c>
      <x:c r="E307" s="19" t="str">
        <x:v>AI应用端逐步迈入价值兑现期，数字经济ETF（560800）涨2.22%</x:v>
      </x:c>
      <x:c r="F307" s="19"/>
      <x:c r="G307" s="19"/>
      <x:c r="H307" s="19"/>
      <x:c r="I307" s="19" t="str">
        <x:v>2026-01-14</x:v>
      </x:c>
      <x:c r="J307" s="19" t="str">
        <x:v>https://www.p5w.net/roll/zqzx/202601/t20260114_6433708.htm</x:v>
      </x:c>
      <x:c r="K307" s="19" t="str">
        <x:v>https://www.p5w.net/roll/zqzx/202601/t20260114_6433708.htm</x:v>
      </x:c>
      <x:c r="L307" s="19"/>
      <x:c r="M307" s="19"/>
      <x:c r="N307" s="19"/>
      <x:c r="O307" s="19" t="str">
        <x:v>candidate-only</x:v>
      </x:c>
      <x:c r="P307" s="33" t="b">
        <x:v>0</x:v>
      </x:c>
      <x:c r="Q307" s="19" t="n">
        <x:v>1</x:v>
      </x:c>
      <x:c r="R307" s="19" t="str">
        <x:v>conditional-local-file-unavailable</x:v>
      </x:c>
    </x:row>
    <x:row r="308" ht="15" hidden="0" customHeight="1">
      <x:c r="A308" s="19" t="str">
        <x:v>R01–R04审计</x:v>
      </x:c>
      <x:c r="B308" s="19" t="str">
        <x:v>media-candidate-cambricon-91088d5f3fc1</x:v>
      </x:c>
      <x:c r="C308" s="19" t="str">
        <x:v>寒武纪</x:v>
      </x:c>
      <x:c r="D308" s="19" t="str">
        <x:v>权威媒体候选</x:v>
      </x:c>
      <x:c r="E308" s="19" t="str">
        <x:v>易方达人工智能ETF布局AI产业新机遇</x:v>
      </x:c>
      <x:c r="F308" s="19"/>
      <x:c r="G308" s="19"/>
      <x:c r="H308" s="19"/>
      <x:c r="I308" s="19" t="str">
        <x:v>2026-01-14</x:v>
      </x:c>
      <x:c r="J308" s="19" t="str">
        <x:v>https://www.p5w.net/roll/pcj/202601/t20260114_6433669.htm</x:v>
      </x:c>
      <x:c r="K308" s="19" t="str">
        <x:v>https://www.p5w.net/roll/pcj/202601/t20260114_6433669.htm</x:v>
      </x:c>
      <x:c r="L308" s="19"/>
      <x:c r="M308" s="19"/>
      <x:c r="N308" s="19"/>
      <x:c r="O308" s="19" t="str">
        <x:v>candidate-only</x:v>
      </x:c>
      <x:c r="P308" s="33" t="b">
        <x:v>0</x:v>
      </x:c>
      <x:c r="Q308" s="19" t="n">
        <x:v>1</x:v>
      </x:c>
      <x:c r="R308" s="19" t="str">
        <x:v>conditional-local-file-unavailable</x:v>
      </x:c>
    </x:row>
    <x:row r="309" ht="15" hidden="0" customHeight="1">
      <x:c r="A309" s="19" t="str">
        <x:v>R01–R04审计</x:v>
      </x:c>
      <x:c r="B309" s="19" t="str">
        <x:v>media-candidate-cambricon-ee47aa67d641</x:v>
      </x:c>
      <x:c r="C309" s="19" t="str">
        <x:v>寒武纪</x:v>
      </x:c>
      <x:c r="D309" s="19" t="str">
        <x:v>权威媒体候选</x:v>
      </x:c>
      <x:c r="E309" s="19" t="str">
        <x:v>易方达科创50ETF把握科技创新布局机遇</x:v>
      </x:c>
      <x:c r="F309" s="19"/>
      <x:c r="G309" s="19"/>
      <x:c r="H309" s="19"/>
      <x:c r="I309" s="19" t="str">
        <x:v>2026-01-14</x:v>
      </x:c>
      <x:c r="J309" s="19" t="str">
        <x:v>https://www.p5w.net/roll/pcj/202601/t20260114_6433648.htm</x:v>
      </x:c>
      <x:c r="K309" s="19" t="str">
        <x:v>https://www.p5w.net/roll/pcj/202601/t20260114_6433648.htm</x:v>
      </x:c>
      <x:c r="L309" s="19"/>
      <x:c r="M309" s="19"/>
      <x:c r="N309" s="19"/>
      <x:c r="O309" s="19" t="str">
        <x:v>candidate-only</x:v>
      </x:c>
      <x:c r="P309" s="33" t="b">
        <x:v>0</x:v>
      </x:c>
      <x:c r="Q309" s="19" t="n">
        <x:v>1</x:v>
      </x:c>
      <x:c r="R309" s="19" t="str">
        <x:v>conditional-local-file-unavailable</x:v>
      </x:c>
    </x:row>
    <x:row r="310" ht="15" hidden="0" customHeight="1">
      <x:c r="A310" s="19" t="str">
        <x:v>R01–R04审计</x:v>
      </x:c>
      <x:c r="B310" s="19" t="str">
        <x:v>media-candidate-cambricon-39f6d4db5ba7</x:v>
      </x:c>
      <x:c r="C310" s="19" t="str">
        <x:v>寒武纪</x:v>
      </x:c>
      <x:c r="D310" s="19" t="str">
        <x:v>权威媒体候选</x:v>
      </x:c>
      <x:c r="E310" s="19" t="str">
        <x:v>华为“卖飞”，牛散赵建平接力豪赌，东芯股份的“存算”野望</x:v>
      </x:c>
      <x:c r="F310" s="19"/>
      <x:c r="G310" s="19"/>
      <x:c r="H310" s="19"/>
      <x:c r="I310" s="19" t="str">
        <x:v>2026-01-13</x:v>
      </x:c>
      <x:c r="J310" s="19" t="str">
        <x:v>https://www.p5w.net/roll/pcj/202601/t20260113_6433501.htm</x:v>
      </x:c>
      <x:c r="K310" s="19" t="str">
        <x:v>https://www.p5w.net/roll/pcj/202601/t20260113_6433501.htm</x:v>
      </x:c>
      <x:c r="L310" s="19"/>
      <x:c r="M310" s="19"/>
      <x:c r="N310" s="19"/>
      <x:c r="O310" s="19" t="str">
        <x:v>candidate-only</x:v>
      </x:c>
      <x:c r="P310" s="33" t="b">
        <x:v>0</x:v>
      </x:c>
      <x:c r="Q310" s="19" t="n">
        <x:v>1</x:v>
      </x:c>
      <x:c r="R310" s="19" t="str">
        <x:v>conditional-local-file-unavailable</x:v>
      </x:c>
    </x:row>
    <x:row r="311" ht="15" hidden="0" customHeight="1">
      <x:c r="A311" s="19" t="str">
        <x:v>R01–R04审计</x:v>
      </x:c>
      <x:c r="B311" s="19" t="str">
        <x:v>media-candidate-cambricon-193315ba55ea</x:v>
      </x:c>
      <x:c r="C311" s="19" t="str">
        <x:v>寒武纪</x:v>
      </x:c>
      <x:c r="D311" s="19" t="str">
        <x:v>权威媒体候选</x:v>
      </x:c>
      <x:c r="E311" s="19" t="str">
        <x:v>“人工智能+制造”行动实施意见发布，数字经济ETF（560800）涨2.53%</x:v>
      </x:c>
      <x:c r="F311" s="19"/>
      <x:c r="G311" s="19"/>
      <x:c r="H311" s="19"/>
      <x:c r="I311" s="19" t="str">
        <x:v>2026-01-12</x:v>
      </x:c>
      <x:c r="J311" s="19" t="str">
        <x:v>https://www.p5w.net/roll/zqzx/202601/t20260112_6433277.htm</x:v>
      </x:c>
      <x:c r="K311" s="19" t="str">
        <x:v>https://www.p5w.net/roll/zqzx/202601/t20260112_6433277.htm</x:v>
      </x:c>
      <x:c r="L311" s="19"/>
      <x:c r="M311" s="19"/>
      <x:c r="N311" s="19"/>
      <x:c r="O311" s="19" t="str">
        <x:v>candidate-only</x:v>
      </x:c>
      <x:c r="P311" s="33" t="b">
        <x:v>0</x:v>
      </x:c>
      <x:c r="Q311" s="19" t="n">
        <x:v>1</x:v>
      </x:c>
      <x:c r="R311" s="19" t="str">
        <x:v>conditional-local-file-unavailable</x:v>
      </x:c>
    </x:row>
    <x:row r="312" ht="15" hidden="0" customHeight="1">
      <x:c r="A312" s="19" t="str">
        <x:v>R01–R04审计</x:v>
      </x:c>
      <x:c r="B312" s="19" t="str">
        <x:v>media-candidate-cambricon-85c67c956cba</x:v>
      </x:c>
      <x:c r="C312" s="19" t="str">
        <x:v>寒武纪</x:v>
      </x:c>
      <x:c r="D312" s="19" t="str">
        <x:v>权威媒体候选</x:v>
      </x:c>
      <x:c r="E312" s="19" t="str">
        <x:v>新纪录！A股新一轮牛市来了</x:v>
      </x:c>
      <x:c r="F312" s="19"/>
      <x:c r="G312" s="19"/>
      <x:c r="H312" s="19"/>
      <x:c r="I312" s="19" t="str">
        <x:v>2026-01-08</x:v>
      </x:c>
      <x:c r="J312" s="19" t="str">
        <x:v>https://www.p5w.net/roll/zqzx/202601/t20260108_6432750.htm</x:v>
      </x:c>
      <x:c r="K312" s="19" t="str">
        <x:v>https://www.p5w.net/roll/zqzx/202601/t20260108_6432750.htm</x:v>
      </x:c>
      <x:c r="L312" s="19"/>
      <x:c r="M312" s="19"/>
      <x:c r="N312" s="19"/>
      <x:c r="O312" s="19" t="str">
        <x:v>candidate-only</x:v>
      </x:c>
      <x:c r="P312" s="33" t="b">
        <x:v>0</x:v>
      </x:c>
      <x:c r="Q312" s="19" t="n">
        <x:v>1</x:v>
      </x:c>
      <x:c r="R312" s="19" t="str">
        <x:v>conditional-local-file-unavailable</x:v>
      </x:c>
    </x:row>
    <x:row r="313" ht="15" hidden="0" customHeight="1">
      <x:c r="A313" s="19" t="str">
        <x:v>R01–R04审计</x:v>
      </x:c>
      <x:c r="B313" s="19" t="str">
        <x:v>media-candidate-cambricon-5c2b05b45834</x:v>
      </x:c>
      <x:c r="C313" s="19" t="str">
        <x:v>寒武纪</x:v>
      </x:c>
      <x:c r="D313" s="19" t="str">
        <x:v>权威媒体候选</x:v>
      </x:c>
      <x:c r="E313" s="19" t="str">
        <x:v>A股，新纪录！</x:v>
      </x:c>
      <x:c r="F313" s="19"/>
      <x:c r="G313" s="19"/>
      <x:c r="H313" s="19"/>
      <x:c r="I313" s="19" t="str">
        <x:v>2026-01-08</x:v>
      </x:c>
      <x:c r="J313" s="19" t="str">
        <x:v>https://www.p5w.net/roll/stock/202601/t20260108_6432714.htm</x:v>
      </x:c>
      <x:c r="K313" s="19" t="str">
        <x:v>https://www.p5w.net/roll/stock/202601/t20260108_6432714.htm</x:v>
      </x:c>
      <x:c r="L313" s="19"/>
      <x:c r="M313" s="19"/>
      <x:c r="N313" s="19"/>
      <x:c r="O313" s="19" t="str">
        <x:v>candidate-only</x:v>
      </x:c>
      <x:c r="P313" s="33" t="b">
        <x:v>0</x:v>
      </x:c>
      <x:c r="Q313" s="19" t="n">
        <x:v>1</x:v>
      </x:c>
      <x:c r="R313" s="19" t="str">
        <x:v>conditional-local-file-unavailable</x:v>
      </x:c>
    </x:row>
    <x:row r="314" ht="21.600000381469727" hidden="0" customHeight="1">
      <x:c r="A314" s="19" t="str">
        <x:v>R01–R04审计</x:v>
      </x:c>
      <x:c r="B314" s="19" t="str">
        <x:v>media-candidate-cambricon-27c2ff91d653</x:v>
      </x:c>
      <x:c r="C314" s="19" t="str">
        <x:v>寒武纪</x:v>
      </x:c>
      <x:c r="D314" s="19" t="str">
        <x:v>权威媒体候选</x:v>
      </x:c>
      <x:c r="E314" s="19" t="str">
        <x:v>《2025上海市“Al+制造”发展白皮书》正式发布！科创人工智能ETF华夏(589010) 上涨1.49%，芯原股份领涨超6%</x:v>
      </x:c>
      <x:c r="F314" s="19"/>
      <x:c r="G314" s="19"/>
      <x:c r="H314" s="19"/>
      <x:c r="I314" s="19" t="str">
        <x:v>2026-01-08</x:v>
      </x:c>
      <x:c r="J314" s="19" t="str">
        <x:v>https://www.p5w.net/roll/zqzx/202601/t20260108_6432718.htm</x:v>
      </x:c>
      <x:c r="K314" s="19" t="str">
        <x:v>https://www.p5w.net/roll/zqzx/202601/t20260108_6432718.htm</x:v>
      </x:c>
      <x:c r="L314" s="19"/>
      <x:c r="M314" s="19"/>
      <x:c r="N314" s="19"/>
      <x:c r="O314" s="19" t="str">
        <x:v>candidate-only</x:v>
      </x:c>
      <x:c r="P314" s="33" t="b">
        <x:v>0</x:v>
      </x:c>
      <x:c r="Q314" s="19" t="n">
        <x:v>1</x:v>
      </x:c>
      <x:c r="R314" s="19" t="str">
        <x:v>conditional-local-file-unavailable</x:v>
      </x:c>
    </x:row>
    <x:row r="315" ht="15" hidden="0" customHeight="1">
      <x:c r="A315" s="19" t="str">
        <x:v>R01–R04审计</x:v>
      </x:c>
      <x:c r="B315" s="19" t="str">
        <x:v>media-candidate-cambricon-ff56f535dbf2</x:v>
      </x:c>
      <x:c r="C315" s="19" t="str">
        <x:v>寒武纪</x:v>
      </x:c>
      <x:c r="D315" s="19" t="str">
        <x:v>权威媒体候选</x:v>
      </x:c>
      <x:c r="E315" s="19" t="str">
        <x:v>国内AI产业利好频出，数字经济ETF（560800）涨2.10%</x:v>
      </x:c>
      <x:c r="F315" s="19"/>
      <x:c r="G315" s="19"/>
      <x:c r="H315" s="19"/>
      <x:c r="I315" s="19" t="str">
        <x:v>2026-01-08</x:v>
      </x:c>
      <x:c r="J315" s="19" t="str">
        <x:v>https://www.p5w.net/roll/zqzx/202601/t20260108_6432655.htm</x:v>
      </x:c>
      <x:c r="K315" s="19" t="str">
        <x:v>https://www.p5w.net/roll/zqzx/202601/t20260108_6432655.htm</x:v>
      </x:c>
      <x:c r="L315" s="19"/>
      <x:c r="M315" s="19"/>
      <x:c r="N315" s="19"/>
      <x:c r="O315" s="19" t="str">
        <x:v>candidate-only</x:v>
      </x:c>
      <x:c r="P315" s="33" t="b">
        <x:v>0</x:v>
      </x:c>
      <x:c r="Q315" s="19" t="n">
        <x:v>1</x:v>
      </x:c>
      <x:c r="R315" s="19" t="str">
        <x:v>conditional-local-file-unavailable</x:v>
      </x:c>
    </x:row>
    <x:row r="316" ht="15" hidden="0" customHeight="1">
      <x:c r="A316" s="19" t="str">
        <x:v>R01–R04审计</x:v>
      </x:c>
      <x:c r="B316" s="19" t="str">
        <x:v>media-candidate-cambricon-b676a4495132</x:v>
      </x:c>
      <x:c r="C316" s="19" t="str">
        <x:v>寒武纪</x:v>
      </x:c>
      <x:c r="D316" s="19" t="str">
        <x:v>权威媒体候选</x:v>
      </x:c>
      <x:c r="E316" s="19" t="str">
        <x:v>中欧葛兰2025年三季报解读：旗下基金跑赢基准，坚守医药投资主线</x:v>
      </x:c>
      <x:c r="F316" s="19"/>
      <x:c r="G316" s="19"/>
      <x:c r="H316" s="19"/>
      <x:c r="I316" s="19" t="str">
        <x:v>2026-01-08</x:v>
      </x:c>
      <x:c r="J316" s="19" t="str">
        <x:v>https://www.p5w.net/roll/finance/202601/t20260108_6432645.htm</x:v>
      </x:c>
      <x:c r="K316" s="19" t="str">
        <x:v>https://www.p5w.net/roll/finance/202601/t20260108_6432645.htm</x:v>
      </x:c>
      <x:c r="L316" s="19"/>
      <x:c r="M316" s="19"/>
      <x:c r="N316" s="19"/>
      <x:c r="O316" s="19" t="str">
        <x:v>candidate-only</x:v>
      </x:c>
      <x:c r="P316" s="33" t="b">
        <x:v>0</x:v>
      </x:c>
      <x:c r="Q316" s="19" t="n">
        <x:v>1</x:v>
      </x:c>
      <x:c r="R316" s="19" t="str">
        <x:v>conditional-local-file-unavailable</x:v>
      </x:c>
    </x:row>
    <x:row r="317" ht="15" hidden="0" customHeight="1">
      <x:c r="A317" s="19" t="str">
        <x:v>R01–R04审计</x:v>
      </x:c>
      <x:c r="B317" s="19" t="str">
        <x:v>media-candidate-cambricon-8c3c8e37f5cd</x:v>
      </x:c>
      <x:c r="C317" s="19" t="str">
        <x:v>寒武纪</x:v>
      </x:c>
      <x:c r="D317" s="19" t="str">
        <x:v>权威媒体候选</x:v>
      </x:c>
      <x:c r="E317" s="19" t="str">
        <x:v>易方达芯片产业ETF布局存储芯片新周期</x:v>
      </x:c>
      <x:c r="F317" s="19"/>
      <x:c r="G317" s="19"/>
      <x:c r="H317" s="19"/>
      <x:c r="I317" s="19" t="str">
        <x:v>2026-01-08</x:v>
      </x:c>
      <x:c r="J317" s="19" t="str">
        <x:v>https://www.p5w.net/roll/pcj/202601/t20260108_6432643.htm</x:v>
      </x:c>
      <x:c r="K317" s="19" t="str">
        <x:v>https://www.p5w.net/roll/pcj/202601/t20260108_6432643.htm</x:v>
      </x:c>
      <x:c r="L317" s="19"/>
      <x:c r="M317" s="19"/>
      <x:c r="N317" s="19"/>
      <x:c r="O317" s="19" t="str">
        <x:v>candidate-only</x:v>
      </x:c>
      <x:c r="P317" s="33" t="b">
        <x:v>0</x:v>
      </x:c>
      <x:c r="Q317" s="19" t="n">
        <x:v>1</x:v>
      </x:c>
      <x:c r="R317" s="19" t="str">
        <x:v>conditional-local-file-unavailable</x:v>
      </x:c>
    </x:row>
    <x:row r="318" ht="15" hidden="0" customHeight="1">
      <x:c r="A318" s="19" t="str">
        <x:v>R01–R04审计</x:v>
      </x:c>
      <x:c r="B318" s="19" t="str">
        <x:v>media-candidate-cambricon-166f3a8c1099</x:v>
      </x:c>
      <x:c r="C318" s="19" t="str">
        <x:v>寒武纪</x:v>
      </x:c>
      <x:c r="D318" s="19" t="str">
        <x:v>权威媒体候选</x:v>
      </x:c>
      <x:c r="E318" s="19" t="str">
        <x:v>2026开年存储芯片价格表现持续强势，双创50ETF基金（588350）涨1.22%</x:v>
      </x:c>
      <x:c r="F318" s="19"/>
      <x:c r="G318" s="19"/>
      <x:c r="H318" s="19"/>
      <x:c r="I318" s="19" t="str">
        <x:v>2026-01-07</x:v>
      </x:c>
      <x:c r="J318" s="19" t="str">
        <x:v>https://www.p5w.net/roll/zqzx/202601/t20260107_6432409.htm</x:v>
      </x:c>
      <x:c r="K318" s="19" t="str">
        <x:v>https://www.p5w.net/roll/zqzx/202601/t20260107_6432409.htm</x:v>
      </x:c>
      <x:c r="L318" s="19"/>
      <x:c r="M318" s="19"/>
      <x:c r="N318" s="19"/>
      <x:c r="O318" s="19" t="str">
        <x:v>candidate-only</x:v>
      </x:c>
      <x:c r="P318" s="33" t="b">
        <x:v>0</x:v>
      </x:c>
      <x:c r="Q318" s="19" t="n">
        <x:v>1</x:v>
      </x:c>
      <x:c r="R318" s="19" t="str">
        <x:v>conditional-local-file-unavailable</x:v>
      </x:c>
    </x:row>
    <x:row r="319" ht="15" hidden="0" customHeight="1">
      <x:c r="A319" s="19" t="str">
        <x:v>R01–R04审计</x:v>
      </x:c>
      <x:c r="B319" s="19" t="str">
        <x:v>media-candidate-cambricon-26e4cbde3374</x:v>
      </x:c>
      <x:c r="C319" s="19" t="str">
        <x:v>寒武纪</x:v>
      </x:c>
      <x:c r="D319" s="19" t="str">
        <x:v>权威媒体候选</x:v>
      </x:c>
      <x:c r="E319" s="19" t="str">
        <x:v>共探价值新程！ 广东博众 2026 资本市场投资年会解锁多重投资机遇</x:v>
      </x:c>
      <x:c r="F319" s="19"/>
      <x:c r="G319" s="19"/>
      <x:c r="H319" s="19"/>
      <x:c r="I319" s="19" t="str">
        <x:v>2026-01-05</x:v>
      </x:c>
      <x:c r="J319" s="19" t="str">
        <x:v>https://www.p5w.net/roll/finance/202601/t20260105_6432035.htm</x:v>
      </x:c>
      <x:c r="K319" s="19" t="str">
        <x:v>https://www.p5w.net/roll/finance/202601/t20260105_6432035.htm</x:v>
      </x:c>
      <x:c r="L319" s="19"/>
      <x:c r="M319" s="19"/>
      <x:c r="N319" s="19"/>
      <x:c r="O319" s="19" t="str">
        <x:v>candidate-only</x:v>
      </x:c>
      <x:c r="P319" s="33" t="b">
        <x:v>0</x:v>
      </x:c>
      <x:c r="Q319" s="19" t="n">
        <x:v>1</x:v>
      </x:c>
      <x:c r="R319" s="19" t="str">
        <x:v>conditional-local-file-unavailable</x:v>
      </x:c>
    </x:row>
    <x:row r="320" ht="15" hidden="0" customHeight="1">
      <x:c r="A320" s="19" t="str">
        <x:v>R01–R04审计</x:v>
      </x:c>
      <x:c r="B320" s="19" t="str">
        <x:v>media-candidate-cambricon-4d706c633efd</x:v>
      </x:c>
      <x:c r="C320" s="19" t="str">
        <x:v>寒武纪</x:v>
      </x:c>
      <x:c r="D320" s="19" t="str">
        <x:v>权威媒体候选</x:v>
      </x:c>
      <x:c r="E320" s="19" t="str">
        <x:v>华安基金科创板ETF周报：科创板第五套上市标准扩围至商业火箭</x:v>
      </x:c>
      <x:c r="F320" s="19"/>
      <x:c r="G320" s="19"/>
      <x:c r="H320" s="19"/>
      <x:c r="I320" s="19" t="str">
        <x:v>2025-12-30</x:v>
      </x:c>
      <x:c r="J320" s="19" t="str">
        <x:v>https://www.p5w.net/roll/fund/202512/t20251230_6431192.htm</x:v>
      </x:c>
      <x:c r="K320" s="19" t="str">
        <x:v>https://www.p5w.net/roll/fund/202512/t20251230_6431192.htm</x:v>
      </x:c>
      <x:c r="L320" s="19"/>
      <x:c r="M320" s="19"/>
      <x:c r="N320" s="19"/>
      <x:c r="O320" s="19" t="str">
        <x:v>candidate-only</x:v>
      </x:c>
      <x:c r="P320" s="33" t="b">
        <x:v>0</x:v>
      </x:c>
      <x:c r="Q320" s="19" t="n">
        <x:v>1</x:v>
      </x:c>
      <x:c r="R320" s="19" t="str">
        <x:v>conditional-local-file-unavailable</x:v>
      </x:c>
    </x:row>
    <x:row r="321" ht="15" hidden="0" customHeight="1">
      <x:c r="A321" s="19" t="str">
        <x:v>R01–R04审计</x:v>
      </x:c>
      <x:c r="B321" s="19" t="str">
        <x:v>media-candidate-cambricon-93ddfa121521</x:v>
      </x:c>
      <x:c r="C321" s="19" t="str">
        <x:v>寒武纪</x:v>
      </x:c>
      <x:c r="D321" s="19" t="str">
        <x:v>权威媒体候选</x:v>
      </x:c>
      <x:c r="E321" s="19" t="str">
        <x:v>国产化驱动下中国半导体销售额有望持续增长，数字经济ETF（560800）涨0.82%</x:v>
      </x:c>
      <x:c r="F321" s="19"/>
      <x:c r="G321" s="19"/>
      <x:c r="H321" s="19"/>
      <x:c r="I321" s="19" t="str">
        <x:v>2025-12-29</x:v>
      </x:c>
      <x:c r="J321" s="19" t="str">
        <x:v>https://www.p5w.net/roll/zqzx/202512/t20251229_6430894.htm</x:v>
      </x:c>
      <x:c r="K321" s="19" t="str">
        <x:v>https://www.p5w.net/roll/zqzx/202512/t20251229_6430894.htm</x:v>
      </x:c>
      <x:c r="L321" s="19"/>
      <x:c r="M321" s="19"/>
      <x:c r="N321" s="19"/>
      <x:c r="O321" s="19" t="str">
        <x:v>candidate-only</x:v>
      </x:c>
      <x:c r="P321" s="33" t="b">
        <x:v>0</x:v>
      </x:c>
      <x:c r="Q321" s="19" t="n">
        <x:v>1</x:v>
      </x:c>
      <x:c r="R321" s="19" t="str">
        <x:v>conditional-local-file-unavailable</x:v>
      </x:c>
    </x:row>
    <x:row r="322" ht="15" hidden="0" customHeight="1">
      <x:c r="A322" s="19" t="str">
        <x:v>R01–R04审计</x:v>
      </x:c>
      <x:c r="B322" s="19" t="str">
        <x:v>media-candidate-cambricon-a4ea870be241</x:v>
      </x:c>
      <x:c r="C322" s="19" t="str">
        <x:v>寒武纪</x:v>
      </x:c>
      <x:c r="D322" s="19" t="str">
        <x:v>权威媒体候选</x:v>
      </x:c>
      <x:c r="E322" s="19" t="str">
        <x:v>WSTS上调2026年全球半导体市场增长预测，芯片ETF（159995）涨1.38%</x:v>
      </x:c>
      <x:c r="F322" s="19"/>
      <x:c r="G322" s="19"/>
      <x:c r="H322" s="19"/>
      <x:c r="I322" s="19" t="str">
        <x:v>2025-12-29</x:v>
      </x:c>
      <x:c r="J322" s="19" t="str">
        <x:v>https://www.p5w.net/roll/zqzx/202512/t20251229_6430879.htm</x:v>
      </x:c>
      <x:c r="K322" s="19" t="str">
        <x:v>https://www.p5w.net/roll/zqzx/202512/t20251229_6430879.htm</x:v>
      </x:c>
      <x:c r="L322" s="19"/>
      <x:c r="M322" s="19"/>
      <x:c r="N322" s="19"/>
      <x:c r="O322" s="19" t="str">
        <x:v>candidate-only</x:v>
      </x:c>
      <x:c r="P322" s="33" t="b">
        <x:v>0</x:v>
      </x:c>
      <x:c r="Q322" s="19" t="n">
        <x:v>1</x:v>
      </x:c>
      <x:c r="R322" s="19" t="str">
        <x:v>conditional-local-file-unavailable</x:v>
      </x:c>
    </x:row>
    <x:row r="323" ht="15" hidden="0" customHeight="1">
      <x:c r="A323" s="19" t="str">
        <x:v>R01–R04审计</x:v>
      </x:c>
      <x:c r="B323" s="19" t="str">
        <x:v>media-candidate-cambricon-27f6a3072eb5</x:v>
      </x:c>
      <x:c r="C323" s="19" t="str">
        <x:v>寒武纪</x:v>
      </x:c>
      <x:c r="D323" s="19" t="str">
        <x:v>权威媒体候选</x:v>
      </x:c>
      <x:c r="E323" s="19" t="str">
        <x:v>2025年度产业经济十大热点事件：“科技叙事”重塑投资逻辑 “反内卷”再造产业生态</x:v>
      </x:c>
      <x:c r="F323" s="19"/>
      <x:c r="G323" s="19"/>
      <x:c r="H323" s="19"/>
      <x:c r="I323" s="19" t="str">
        <x:v>2025-12-29</x:v>
      </x:c>
      <x:c r="J323" s="19" t="str">
        <x:v>https://www.p5w.net/roll/stock/202512/t20251229_6430834.htm</x:v>
      </x:c>
      <x:c r="K323" s="19" t="str">
        <x:v>https://www.p5w.net/roll/stock/202512/t20251229_6430834.htm</x:v>
      </x:c>
      <x:c r="L323" s="19"/>
      <x:c r="M323" s="19"/>
      <x:c r="N323" s="19"/>
      <x:c r="O323" s="19" t="str">
        <x:v>candidate-only</x:v>
      </x:c>
      <x:c r="P323" s="33" t="b">
        <x:v>0</x:v>
      </x:c>
      <x:c r="Q323" s="19" t="n">
        <x:v>1</x:v>
      </x:c>
      <x:c r="R323" s="19" t="str">
        <x:v>conditional-local-file-unavailable</x:v>
      </x:c>
    </x:row>
    <x:row r="324" ht="15" hidden="0" customHeight="1">
      <x:c r="A324" s="19" t="str">
        <x:v>R01–R04审计</x:v>
      </x:c>
      <x:c r="B324" s="19" t="str">
        <x:v>media-candidate-cambricon-72a74b058314</x:v>
      </x:c>
      <x:c r="C324" s="19" t="str">
        <x:v>寒武纪</x:v>
      </x:c>
      <x:c r="D324" s="19" t="str">
        <x:v>权威媒体候选</x:v>
      </x:c>
      <x:c r="E324" s="19" t="str">
        <x:v>易方达人工智能ETF把握产业加速机遇</x:v>
      </x:c>
      <x:c r="F324" s="19"/>
      <x:c r="G324" s="19"/>
      <x:c r="H324" s="19"/>
      <x:c r="I324" s="19" t="str">
        <x:v>2025-12-24</x:v>
      </x:c>
      <x:c r="J324" s="19" t="str">
        <x:v>https://www.p5w.net/roll/pcj/202512/t20251224_6430164.htm</x:v>
      </x:c>
      <x:c r="K324" s="19" t="str">
        <x:v>https://www.p5w.net/roll/pcj/202512/t20251224_6430164.htm</x:v>
      </x:c>
      <x:c r="L324" s="19"/>
      <x:c r="M324" s="19"/>
      <x:c r="N324" s="19"/>
      <x:c r="O324" s="19" t="str">
        <x:v>candidate-only</x:v>
      </x:c>
      <x:c r="P324" s="33" t="b">
        <x:v>0</x:v>
      </x:c>
      <x:c r="Q324" s="19" t="n">
        <x:v>1</x:v>
      </x:c>
      <x:c r="R324" s="19" t="str">
        <x:v>conditional-local-file-unavailable</x:v>
      </x:c>
    </x:row>
    <x:row r="325" ht="15" hidden="0" customHeight="1">
      <x:c r="A325" s="19" t="str">
        <x:v>R01–R04审计</x:v>
      </x:c>
      <x:c r="B325" s="19" t="str">
        <x:v>media-candidate-cambricon-b78b38e66d82</x:v>
      </x:c>
      <x:c r="C325" s="19" t="str">
        <x:v>寒武纪</x:v>
      </x:c>
      <x:c r="D325" s="19" t="str">
        <x:v>权威媒体候选</x:v>
      </x:c>
      <x:c r="E325" s="19" t="str">
        <x:v>12月23日证券之星午间消息汇总：400万亿元！A股见证历史</x:v>
      </x:c>
      <x:c r="F325" s="19"/>
      <x:c r="G325" s="19"/>
      <x:c r="H325" s="19"/>
      <x:c r="I325" s="19" t="str">
        <x:v>2025-12-23</x:v>
      </x:c>
      <x:c r="J325" s="19" t="str">
        <x:v>https://www.p5w.net/roll/zqzx/202512/t20251223_6429947.htm</x:v>
      </x:c>
      <x:c r="K325" s="19" t="str">
        <x:v>https://www.p5w.net/roll/zqzx/202512/t20251223_6429947.htm</x:v>
      </x:c>
      <x:c r="L325" s="19"/>
      <x:c r="M325" s="19"/>
      <x:c r="N325" s="19"/>
      <x:c r="O325" s="19" t="str">
        <x:v>candidate-only</x:v>
      </x:c>
      <x:c r="P325" s="33" t="b">
        <x:v>0</x:v>
      </x:c>
      <x:c r="Q325" s="19" t="n">
        <x:v>1</x:v>
      </x:c>
      <x:c r="R325" s="19" t="str">
        <x:v>conditional-local-file-unavailable</x:v>
      </x:c>
    </x:row>
    <x:row r="326" ht="15" hidden="0" customHeight="1">
      <x:c r="A326" s="19" t="str">
        <x:v>R01–R04审计</x:v>
      </x:c>
      <x:c r="B326" s="19" t="str">
        <x:v>media-candidate-cambricon-47ef0353244f</x:v>
      </x:c>
      <x:c r="C326" s="19" t="str">
        <x:v>寒武纪</x:v>
      </x:c>
      <x:c r="D326" s="19" t="str">
        <x:v>权威媒体候选</x:v>
      </x:c>
      <x:c r="E326" s="19" t="str">
        <x:v>易方达中证芯片产业ETF把握卫星产业核心环节</x:v>
      </x:c>
      <x:c r="F326" s="19"/>
      <x:c r="G326" s="19"/>
      <x:c r="H326" s="19"/>
      <x:c r="I326" s="19" t="str">
        <x:v>2025-12-22</x:v>
      </x:c>
      <x:c r="J326" s="19" t="str">
        <x:v>https://www.p5w.net/roll/pcj/202512/t20251222_6429714.htm</x:v>
      </x:c>
      <x:c r="K326" s="19" t="str">
        <x:v>https://www.p5w.net/roll/pcj/202512/t20251222_6429714.htm</x:v>
      </x:c>
      <x:c r="L326" s="19"/>
      <x:c r="M326" s="19"/>
      <x:c r="N326" s="19"/>
      <x:c r="O326" s="19" t="str">
        <x:v>candidate-only</x:v>
      </x:c>
      <x:c r="P326" s="33" t="b">
        <x:v>0</x:v>
      </x:c>
      <x:c r="Q326" s="19" t="n">
        <x:v>1</x:v>
      </x:c>
      <x:c r="R326" s="19" t="str">
        <x:v>conditional-local-file-unavailable</x:v>
      </x:c>
    </x:row>
    <x:row r="327" ht="15" hidden="0" customHeight="1">
      <x:c r="A327" s="19" t="str">
        <x:v>R01–R04审计</x:v>
      </x:c>
      <x:c r="B327" s="19" t="str">
        <x:v>media-candidate-cambricon-f00789a82933</x:v>
      </x:c>
      <x:c r="C327" s="19" t="str">
        <x:v>寒武纪</x:v>
      </x:c>
      <x:c r="D327" s="19" t="str">
        <x:v>权威媒体候选</x:v>
      </x:c>
      <x:c r="E327" s="19" t="str">
        <x:v>年内浮盈超百亿 公募定增“擒牛”战绩斐然</x:v>
      </x:c>
      <x:c r="F327" s="19"/>
      <x:c r="G327" s="19"/>
      <x:c r="H327" s="19"/>
      <x:c r="I327" s="19" t="str">
        <x:v>2025-12-22</x:v>
      </x:c>
      <x:c r="J327" s="19" t="str">
        <x:v>https://www.p5w.net/roll/fund/202512/t20251222_6429674.htm</x:v>
      </x:c>
      <x:c r="K327" s="19" t="str">
        <x:v>https://www.p5w.net/roll/fund/202512/t20251222_6429674.htm</x:v>
      </x:c>
      <x:c r="L327" s="19"/>
      <x:c r="M327" s="19"/>
      <x:c r="N327" s="19"/>
      <x:c r="O327" s="19" t="str">
        <x:v>candidate-only</x:v>
      </x:c>
      <x:c r="P327" s="33" t="b">
        <x:v>0</x:v>
      </x:c>
      <x:c r="Q327" s="19" t="n">
        <x:v>1</x:v>
      </x:c>
      <x:c r="R327" s="19" t="str">
        <x:v>conditional-local-file-unavailable</x:v>
      </x:c>
    </x:row>
    <x:row r="328" ht="15" hidden="0" customHeight="1">
      <x:c r="A328" s="19" t="str">
        <x:v>R01–R04审计</x:v>
      </x:c>
      <x:c r="B328" s="19" t="str">
        <x:v>media-candidate-cambricon-59c347045be0</x:v>
      </x:c>
      <x:c r="C328" s="19" t="str">
        <x:v>寒武纪</x:v>
      </x:c>
      <x:c r="D328" s="19" t="str">
        <x:v>权威媒体候选</x:v>
      </x:c>
      <x:c r="E328" s="19" t="str">
        <x:v>GPU赛道爆火，沐曦股份何以成为A股“最赚钱新股”</x:v>
      </x:c>
      <x:c r="F328" s="19"/>
      <x:c r="G328" s="19"/>
      <x:c r="H328" s="19"/>
      <x:c r="I328" s="19" t="str">
        <x:v>2025-12-19</x:v>
      </x:c>
      <x:c r="J328" s="19" t="str">
        <x:v>https://www.p5w.net/roll/lanjinger/202512/t20251219_6429512.htm</x:v>
      </x:c>
      <x:c r="K328" s="19" t="str">
        <x:v>https://www.p5w.net/roll/lanjinger/202512/t20251219_6429512.htm</x:v>
      </x:c>
      <x:c r="L328" s="19"/>
      <x:c r="M328" s="19"/>
      <x:c r="N328" s="19"/>
      <x:c r="O328" s="19" t="str">
        <x:v>candidate-only</x:v>
      </x:c>
      <x:c r="P328" s="33" t="b">
        <x:v>0</x:v>
      </x:c>
      <x:c r="Q328" s="19" t="n">
        <x:v>1</x:v>
      </x:c>
      <x:c r="R328" s="19" t="str">
        <x:v>conditional-local-file-unavailable</x:v>
      </x:c>
    </x:row>
    <x:row r="329" ht="15" hidden="0" customHeight="1">
      <x:c r="A329" s="19" t="str">
        <x:v>R01–R04审计</x:v>
      </x:c>
      <x:c r="B329" s="19" t="str">
        <x:v>media-candidate-cambricon-fdcd119a6f0d</x:v>
      </x:c>
      <x:c r="C329" s="19" t="str">
        <x:v>寒武纪</x:v>
      </x:c>
      <x:c r="D329" s="19" t="str">
        <x:v>权威媒体候选</x:v>
      </x:c>
      <x:c r="E329" s="19" t="str">
        <x:v>侨银股份获评 “2025 年人工智能卓越竞争力上市公司”</x:v>
      </x:c>
      <x:c r="F329" s="19"/>
      <x:c r="G329" s="19"/>
      <x:c r="H329" s="19"/>
      <x:c r="I329" s="19" t="str">
        <x:v>2025-12-18</x:v>
      </x:c>
      <x:c r="J329" s="19" t="str">
        <x:v>https://www.p5w.net/roll/pcj/202512/t20251218_6429304.htm</x:v>
      </x:c>
      <x:c r="K329" s="19" t="str">
        <x:v>https://www.p5w.net/roll/pcj/202512/t20251218_6429304.htm</x:v>
      </x:c>
      <x:c r="L329" s="19"/>
      <x:c r="M329" s="19"/>
      <x:c r="N329" s="19"/>
      <x:c r="O329" s="19" t="str">
        <x:v>candidate-only</x:v>
      </x:c>
      <x:c r="P329" s="33" t="b">
        <x:v>0</x:v>
      </x:c>
      <x:c r="Q329" s="19" t="n">
        <x:v>1</x:v>
      </x:c>
      <x:c r="R329" s="19" t="str">
        <x:v>conditional-local-file-unavailable</x:v>
      </x:c>
    </x:row>
    <x:row r="330" ht="21.600000381469727" hidden="0" customHeight="1">
      <x:c r="A330" s="19" t="str">
        <x:v>R01–R04审计</x:v>
      </x:c>
      <x:c r="B330" s="19" t="str">
        <x:v>media-candidate-cambricon-4970ca610e63</x:v>
      </x:c>
      <x:c r="C330" s="19" t="str">
        <x:v>寒武纪</x:v>
      </x:c>
      <x:c r="D330" s="19" t="str">
        <x:v>权威媒体候选</x:v>
      </x:c>
      <x:c r="E330" s="19" t="str">
        <x:v>2025年我国人工智能核心产业规模有望突破万亿，双创50ETF基金（588350）涨1.68%</x:v>
      </x:c>
      <x:c r="F330" s="19"/>
      <x:c r="G330" s="19"/>
      <x:c r="H330" s="19"/>
      <x:c r="I330" s="19" t="str">
        <x:v>2025-12-17</x:v>
      </x:c>
      <x:c r="J330" s="19" t="str">
        <x:v>https://www.p5w.net/roll/zqzx/202512/t20251217_6428958.htm</x:v>
      </x:c>
      <x:c r="K330" s="19" t="str">
        <x:v>https://www.p5w.net/roll/zqzx/202512/t20251217_6428958.htm</x:v>
      </x:c>
      <x:c r="L330" s="19"/>
      <x:c r="M330" s="19"/>
      <x:c r="N330" s="19"/>
      <x:c r="O330" s="19" t="str">
        <x:v>candidate-only</x:v>
      </x:c>
      <x:c r="P330" s="33" t="b">
        <x:v>0</x:v>
      </x:c>
      <x:c r="Q330" s="19" t="n">
        <x:v>1</x:v>
      </x:c>
      <x:c r="R330" s="19" t="str">
        <x:v>conditional-local-file-unavailable</x:v>
      </x:c>
    </x:row>
    <x:row r="331" ht="15" hidden="0" customHeight="1">
      <x:c r="A331" s="19" t="str">
        <x:v>R01–R04审计</x:v>
      </x:c>
      <x:c r="B331" s="19" t="str">
        <x:v>media-candidate-cambricon-fe6b929d232e</x:v>
      </x:c>
      <x:c r="C331" s="19" t="str">
        <x:v>寒武纪</x:v>
      </x:c>
      <x:c r="D331" s="19" t="str">
        <x:v>权威媒体候选</x:v>
      </x:c>
      <x:c r="E331" s="19" t="str">
        <x:v>“GPU双雄”会师科创板 AI芯片攻坚国产替代</x:v>
      </x:c>
      <x:c r="F331" s="19"/>
      <x:c r="G331" s="19"/>
      <x:c r="H331" s="19"/>
      <x:c r="I331" s="19" t="str">
        <x:v>2025-12-17</x:v>
      </x:c>
      <x:c r="J331" s="19" t="str">
        <x:v>https://www.p5w.net/roll/stock/202512/t20251217_6428870.htm</x:v>
      </x:c>
      <x:c r="K331" s="19" t="str">
        <x:v>https://www.p5w.net/roll/stock/202512/t20251217_6428870.htm</x:v>
      </x:c>
      <x:c r="L331" s="19"/>
      <x:c r="M331" s="19"/>
      <x:c r="N331" s="19"/>
      <x:c r="O331" s="19" t="str">
        <x:v>candidate-only</x:v>
      </x:c>
      <x:c r="P331" s="33" t="b">
        <x:v>0</x:v>
      </x:c>
      <x:c r="Q331" s="19" t="n">
        <x:v>1</x:v>
      </x:c>
      <x:c r="R331" s="19" t="str">
        <x:v>conditional-local-file-unavailable</x:v>
      </x:c>
    </x:row>
    <x:row r="332" ht="15" hidden="0" customHeight="1">
      <x:c r="A332" s="19" t="str">
        <x:v>R01–R04审计</x:v>
      </x:c>
      <x:c r="B332" s="19" t="str">
        <x:v>media-candidate-cambricon-932831ec4f1b</x:v>
      </x:c>
      <x:c r="C332" s="19" t="str">
        <x:v>寒武纪</x:v>
      </x:c>
      <x:c r="D332" s="19" t="str">
        <x:v>权威媒体候选</x:v>
      </x:c>
      <x:c r="E332" s="19" t="str">
        <x:v>科创板年度回顾：科技自强，资本引擎</x:v>
      </x:c>
      <x:c r="F332" s="19"/>
      <x:c r="G332" s="19"/>
      <x:c r="H332" s="19"/>
      <x:c r="I332" s="19" t="str">
        <x:v>2025-12-16</x:v>
      </x:c>
      <x:c r="J332" s="19" t="str">
        <x:v>https://www.p5w.net/roll/zqzx/202512/t20251216_6428763.htm</x:v>
      </x:c>
      <x:c r="K332" s="19" t="str">
        <x:v>https://www.p5w.net/roll/zqzx/202512/t20251216_6428763.htm</x:v>
      </x:c>
      <x:c r="L332" s="19"/>
      <x:c r="M332" s="19"/>
      <x:c r="N332" s="19"/>
      <x:c r="O332" s="19" t="str">
        <x:v>candidate-only</x:v>
      </x:c>
      <x:c r="P332" s="33" t="b">
        <x:v>0</x:v>
      </x:c>
      <x:c r="Q332" s="19" t="n">
        <x:v>1</x:v>
      </x:c>
      <x:c r="R332" s="19" t="str">
        <x:v>conditional-local-file-unavailable</x:v>
      </x:c>
    </x:row>
    <x:row r="333" ht="15" hidden="0" customHeight="1">
      <x:c r="A333" s="19" t="str">
        <x:v>R01–R04审计</x:v>
      </x:c>
      <x:c r="B333" s="19" t="str">
        <x:v>media-candidate-cambricon-b99d16c819d3</x:v>
      </x:c>
      <x:c r="C333" s="19" t="str">
        <x:v>寒武纪</x:v>
      </x:c>
      <x:c r="D333" s="19" t="str">
        <x:v>权威媒体候选</x:v>
      </x:c>
      <x:c r="E333" s="19" t="str">
        <x:v>跨年攻势指数将向上迈出新台阶，A50ETF（159601）早盘窄幅震荡</x:v>
      </x:c>
      <x:c r="F333" s="19"/>
      <x:c r="G333" s="19"/>
      <x:c r="H333" s="19"/>
      <x:c r="I333" s="19" t="str">
        <x:v>2025-12-12</x:v>
      </x:c>
      <x:c r="J333" s="19" t="str">
        <x:v>https://www.p5w.net/roll/zqzx/202512/t20251212_6428215.htm</x:v>
      </x:c>
      <x:c r="K333" s="19" t="str">
        <x:v>https://www.p5w.net/roll/zqzx/202512/t20251212_6428215.htm</x:v>
      </x:c>
      <x:c r="L333" s="19"/>
      <x:c r="M333" s="19"/>
      <x:c r="N333" s="19"/>
      <x:c r="O333" s="19" t="str">
        <x:v>candidate-only</x:v>
      </x:c>
      <x:c r="P333" s="33" t="b">
        <x:v>0</x:v>
      </x:c>
      <x:c r="Q333" s="19" t="n">
        <x:v>1</x:v>
      </x:c>
      <x:c r="R333" s="19" t="str">
        <x:v>conditional-local-file-unavailable</x:v>
      </x:c>
    </x:row>
    <x:row r="334" ht="15" hidden="0" customHeight="1">
      <x:c r="A334" s="19" t="str">
        <x:v>R01–R04审计</x:v>
      </x:c>
      <x:c r="B334" s="19" t="str">
        <x:v>media-candidate-cambricon-0139b646790f</x:v>
      </x:c>
      <x:c r="C334" s="19" t="str">
        <x:v>寒武纪</x:v>
      </x:c>
      <x:c r="D334" s="19" t="str">
        <x:v>权威媒体候选</x:v>
      </x:c>
      <x:c r="E334" s="19" t="str">
        <x:v>摩尔线程盘中大涨超19%，市值突破4000亿</x:v>
      </x:c>
      <x:c r="F334" s="19"/>
      <x:c r="G334" s="19"/>
      <x:c r="H334" s="19"/>
      <x:c r="I334" s="19" t="str">
        <x:v>2025-12-11</x:v>
      </x:c>
      <x:c r="J334" s="19" t="str">
        <x:v>https://www.p5w.net/roll/zqzx/202512/t20251211_6428019.htm</x:v>
      </x:c>
      <x:c r="K334" s="19" t="str">
        <x:v>https://www.p5w.net/roll/zqzx/202512/t20251211_6428019.htm</x:v>
      </x:c>
      <x:c r="L334" s="19"/>
      <x:c r="M334" s="19"/>
      <x:c r="N334" s="19"/>
      <x:c r="O334" s="19" t="str">
        <x:v>candidate-only</x:v>
      </x:c>
      <x:c r="P334" s="33" t="b">
        <x:v>0</x:v>
      </x:c>
      <x:c r="Q334" s="19" t="n">
        <x:v>1</x:v>
      </x:c>
      <x:c r="R334" s="19" t="str">
        <x:v>conditional-local-file-unavailable</x:v>
      </x:c>
    </x:row>
    <x:row r="335" ht="15" hidden="0" customHeight="1">
      <x:c r="A335" s="19" t="str">
        <x:v>R01–R04审计</x:v>
      </x:c>
      <x:c r="B335" s="19" t="str">
        <x:v>media-candidate-cambricon-9f7a2ca916f8</x:v>
      </x:c>
      <x:c r="C335" s="19" t="str">
        <x:v>寒武纪</x:v>
      </x:c>
      <x:c r="D335" s="19" t="str">
        <x:v>权威媒体候选</x:v>
      </x:c>
      <x:c r="E335" s="19" t="str">
        <x:v>科技巨头加码端侧AI硬件，双创50ETF基金（588350）涨0.70%</x:v>
      </x:c>
      <x:c r="F335" s="19"/>
      <x:c r="G335" s="19"/>
      <x:c r="H335" s="19"/>
      <x:c r="I335" s="19" t="str">
        <x:v>2025-12-09</x:v>
      </x:c>
      <x:c r="J335" s="19" t="str">
        <x:v>https://www.p5w.net/roll/zqzx/202512/t20251209_6427566.htm</x:v>
      </x:c>
      <x:c r="K335" s="19" t="str">
        <x:v>https://www.p5w.net/roll/zqzx/202512/t20251209_6427566.htm</x:v>
      </x:c>
      <x:c r="L335" s="19"/>
      <x:c r="M335" s="19"/>
      <x:c r="N335" s="19"/>
      <x:c r="O335" s="19" t="str">
        <x:v>candidate-only</x:v>
      </x:c>
      <x:c r="P335" s="33" t="b">
        <x:v>0</x:v>
      </x:c>
      <x:c r="Q335" s="19" t="n">
        <x:v>1</x:v>
      </x:c>
      <x:c r="R335" s="19" t="str">
        <x:v>conditional-local-file-unavailable</x:v>
      </x:c>
    </x:row>
    <x:row r="336" ht="15" hidden="0" customHeight="1">
      <x:c r="A336" s="19" t="str">
        <x:v>R01–R04审计</x:v>
      </x:c>
      <x:c r="B336" s="19" t="str">
        <x:v>media-candidate-cambricon-2d15ee03ad2a</x:v>
      </x:c>
      <x:c r="C336" s="19" t="str">
        <x:v>寒武纪</x:v>
      </x:c>
      <x:c r="D336" s="19" t="str">
        <x:v>权威媒体候选</x:v>
      </x:c>
      <x:c r="E336" s="19" t="str">
        <x:v>易方达人工智能ETF把握产业浪潮机遇</x:v>
      </x:c>
      <x:c r="F336" s="19"/>
      <x:c r="G336" s="19"/>
      <x:c r="H336" s="19"/>
      <x:c r="I336" s="19" t="str">
        <x:v>2025-12-09</x:v>
      </x:c>
      <x:c r="J336" s="19" t="str">
        <x:v>https://www.p5w.net/roll/pcj/202512/t20251209_6427513.htm</x:v>
      </x:c>
      <x:c r="K336" s="19" t="str">
        <x:v>https://www.p5w.net/roll/pcj/202512/t20251209_6427513.htm</x:v>
      </x:c>
      <x:c r="L336" s="19"/>
      <x:c r="M336" s="19"/>
      <x:c r="N336" s="19"/>
      <x:c r="O336" s="19" t="str">
        <x:v>candidate-only</x:v>
      </x:c>
      <x:c r="P336" s="33" t="b">
        <x:v>0</x:v>
      </x:c>
      <x:c r="Q336" s="19" t="n">
        <x:v>1</x:v>
      </x:c>
      <x:c r="R336" s="19" t="str">
        <x:v>conditional-local-file-unavailable</x:v>
      </x:c>
    </x:row>
    <x:row r="337" ht="15" hidden="0" customHeight="1">
      <x:c r="A337" s="19" t="str">
        <x:v>R01–R04审计</x:v>
      </x:c>
      <x:c r="B337" s="19" t="str">
        <x:v>media-candidate-cambricon-40b9490ee674</x:v>
      </x:c>
      <x:c r="C337" s="19" t="str">
        <x:v>寒武纪</x:v>
      </x:c>
      <x:c r="D337" s="19" t="str">
        <x:v>权威媒体候选</x:v>
      </x:c>
      <x:c r="E337" s="19" t="str">
        <x:v>近期AI产业链催化不断，双创50ETF基金（588350）涨2.24%</x:v>
      </x:c>
      <x:c r="F337" s="19"/>
      <x:c r="G337" s="19"/>
      <x:c r="H337" s="19"/>
      <x:c r="I337" s="19" t="str">
        <x:v>2025-12-08</x:v>
      </x:c>
      <x:c r="J337" s="19" t="str">
        <x:v>https://www.p5w.net/roll/zqzx/202512/t20251208_6427240.htm</x:v>
      </x:c>
      <x:c r="K337" s="19" t="str">
        <x:v>https://www.p5w.net/roll/zqzx/202512/t20251208_6427240.htm</x:v>
      </x:c>
      <x:c r="L337" s="19"/>
      <x:c r="M337" s="19"/>
      <x:c r="N337" s="19"/>
      <x:c r="O337" s="19" t="str">
        <x:v>candidate-only</x:v>
      </x:c>
      <x:c r="P337" s="33" t="b">
        <x:v>0</x:v>
      </x:c>
      <x:c r="Q337" s="19" t="n">
        <x:v>1</x:v>
      </x:c>
      <x:c r="R337" s="19" t="str">
        <x:v>conditional-local-file-unavailable</x:v>
      </x:c>
    </x:row>
    <x:row r="338" ht="15" hidden="0" customHeight="1">
      <x:c r="A338" s="19" t="str">
        <x:v>R01–R04审计</x:v>
      </x:c>
      <x:c r="B338" s="19" t="str">
        <x:v>media-candidate-cambricon-eeb27c342b4d</x:v>
      </x:c>
      <x:c r="C338" s="19" t="str">
        <x:v>寒武纪</x:v>
      </x:c>
      <x:c r="D338" s="19" t="str">
        <x:v>权威媒体候选</x:v>
      </x:c>
      <x:c r="E338" s="19" t="str">
        <x:v>券商今日金股：2份研报力推一股（名单）</x:v>
      </x:c>
      <x:c r="F338" s="19"/>
      <x:c r="G338" s="19"/>
      <x:c r="H338" s="19"/>
      <x:c r="I338" s="19" t="str">
        <x:v>2025-12-04</x:v>
      </x:c>
      <x:c r="J338" s="19" t="str">
        <x:v>https://www.p5w.net/roll/zqzx/202512/t20251204_6426750.htm</x:v>
      </x:c>
      <x:c r="K338" s="19" t="str">
        <x:v>https://www.p5w.net/roll/zqzx/202512/t20251204_6426750.htm</x:v>
      </x:c>
      <x:c r="L338" s="19"/>
      <x:c r="M338" s="19"/>
      <x:c r="N338" s="19"/>
      <x:c r="O338" s="19" t="str">
        <x:v>candidate-only</x:v>
      </x:c>
      <x:c r="P338" s="33" t="b">
        <x:v>0</x:v>
      </x:c>
      <x:c r="Q338" s="19" t="n">
        <x:v>1</x:v>
      </x:c>
      <x:c r="R338" s="19" t="str">
        <x:v>conditional-local-file-unavailable</x:v>
      </x:c>
    </x:row>
    <x:row r="339" ht="21.600000381469727" hidden="0" customHeight="1">
      <x:c r="A339" s="19" t="str">
        <x:v>R01–R04审计</x:v>
      </x:c>
      <x:c r="B339" s="19" t="str">
        <x:v>media-candidate-cambricon-212b4b2e5682</x:v>
      </x:c>
      <x:c r="C339" s="19" t="str">
        <x:v>寒武纪</x:v>
      </x:c>
      <x:c r="D339" s="19" t="str">
        <x:v>权威媒体候选</x:v>
      </x:c>
      <x:c r="E339" s="19" t="str">
        <x:v>“擎天柱”将于明年投产，机器人产业链再迎催化，双创50ETF基金（588350）涨0.74%</x:v>
      </x:c>
      <x:c r="F339" s="19"/>
      <x:c r="G339" s="19"/>
      <x:c r="H339" s="19"/>
      <x:c r="I339" s="19" t="str">
        <x:v>2025-12-04</x:v>
      </x:c>
      <x:c r="J339" s="19" t="str">
        <x:v>https://www.p5w.net/roll/zqzx/202512/t20251204_6426707.htm</x:v>
      </x:c>
      <x:c r="K339" s="19" t="str">
        <x:v>https://www.p5w.net/roll/zqzx/202512/t20251204_6426707.htm</x:v>
      </x:c>
      <x:c r="L339" s="19"/>
      <x:c r="M339" s="19"/>
      <x:c r="N339" s="19"/>
      <x:c r="O339" s="19" t="str">
        <x:v>candidate-only</x:v>
      </x:c>
      <x:c r="P339" s="33" t="b">
        <x:v>0</x:v>
      </x:c>
      <x:c r="Q339" s="19" t="n">
        <x:v>1</x:v>
      </x:c>
      <x:c r="R339" s="19" t="str">
        <x:v>conditional-local-file-unavailable</x:v>
      </x:c>
    </x:row>
    <x:row r="340" ht="15" hidden="0" customHeight="1">
      <x:c r="A340" s="19" t="str">
        <x:v>R01–R04审计</x:v>
      </x:c>
      <x:c r="B340" s="19" t="str">
        <x:v>media-candidate-cambricon-7629d0308cb6</x:v>
      </x:c>
      <x:c r="C340" s="19" t="str">
        <x:v>寒武纪</x:v>
      </x:c>
      <x:c r="D340" s="19" t="str">
        <x:v>权威媒体候选</x:v>
      </x:c>
      <x:c r="E340" s="19" t="str">
        <x:v>A股长牛，有四大利好！</x:v>
      </x:c>
      <x:c r="F340" s="19"/>
      <x:c r="G340" s="19"/>
      <x:c r="H340" s="19"/>
      <x:c r="I340" s="19" t="str">
        <x:v>2025-12-02</x:v>
      </x:c>
      <x:c r="J340" s="19" t="str">
        <x:v>https://www.p5w.net/roll/zqzx/202512/t20251202_6426315.htm</x:v>
      </x:c>
      <x:c r="K340" s="19" t="str">
        <x:v>https://www.p5w.net/roll/zqzx/202512/t20251202_6426315.htm</x:v>
      </x:c>
      <x:c r="L340" s="19"/>
      <x:c r="M340" s="19"/>
      <x:c r="N340" s="19"/>
      <x:c r="O340" s="19" t="str">
        <x:v>candidate-only</x:v>
      </x:c>
      <x:c r="P340" s="33" t="b">
        <x:v>0</x:v>
      </x:c>
      <x:c r="Q340" s="19" t="n">
        <x:v>1</x:v>
      </x:c>
      <x:c r="R340" s="19" t="str">
        <x:v>conditional-local-file-unavailable</x:v>
      </x:c>
    </x:row>
    <x:row r="341" ht="21.600000381469727" hidden="0" customHeight="1">
      <x:c r="A341" s="19" t="str">
        <x:v>R01–R04审计</x:v>
      </x:c>
      <x:c r="B341" s="19" t="str">
        <x:v>media-candidate-cambricon-b529cbfec75b</x:v>
      </x:c>
      <x:c r="C341" s="19" t="str">
        <x:v>寒武纪</x:v>
      </x:c>
      <x:c r="D341" s="19" t="str">
        <x:v>权威媒体候选</x:v>
      </x:c>
      <x:c r="E341" s="19" t="str">
        <x:v>DeepSeek-V3.2正式发布，科技主线有望延续，关注科创综指ETF兴业（589050.SH）后市布局机会</x:v>
      </x:c>
      <x:c r="F341" s="19"/>
      <x:c r="G341" s="19"/>
      <x:c r="H341" s="19"/>
      <x:c r="I341" s="19" t="str">
        <x:v>2025-12-02</x:v>
      </x:c>
      <x:c r="J341" s="19" t="str">
        <x:v>https://www.p5w.net/roll/zqzx/202512/t20251202_6426233.htm</x:v>
      </x:c>
      <x:c r="K341" s="19" t="str">
        <x:v>https://www.p5w.net/roll/zqzx/202512/t20251202_6426233.htm</x:v>
      </x:c>
      <x:c r="L341" s="19"/>
      <x:c r="M341" s="19"/>
      <x:c r="N341" s="19"/>
      <x:c r="O341" s="19" t="str">
        <x:v>candidate-only</x:v>
      </x:c>
      <x:c r="P341" s="33" t="b">
        <x:v>0</x:v>
      </x:c>
      <x:c r="Q341" s="19" t="n">
        <x:v>1</x:v>
      </x:c>
      <x:c r="R341" s="19" t="str">
        <x:v>conditional-local-file-unavailable</x:v>
      </x:c>
    </x:row>
    <x:row r="342" ht="15" hidden="0" customHeight="1">
      <x:c r="A342" s="19" t="str">
        <x:v>R01–R04审计</x:v>
      </x:c>
      <x:c r="B342" s="19" t="str">
        <x:v>media-candidate-cambricon-a202ec403ba8</x:v>
      </x:c>
      <x:c r="C342" s="19" t="str">
        <x:v>寒武纪</x:v>
      </x:c>
      <x:c r="D342" s="19" t="str">
        <x:v>权威媒体候选</x:v>
      </x:c>
      <x:c r="E342" s="19" t="str">
        <x:v>市场正积极寻找新时代投资主线，人工智能AIETF（515070）涨2.25%</x:v>
      </x:c>
      <x:c r="F342" s="19"/>
      <x:c r="G342" s="19"/>
      <x:c r="H342" s="19"/>
      <x:c r="I342" s="19" t="str">
        <x:v>2025-12-01</x:v>
      </x:c>
      <x:c r="J342" s="19" t="str">
        <x:v>https://www.p5w.net/roll/zqzx/202512/t20251201_6426020.htm</x:v>
      </x:c>
      <x:c r="K342" s="19" t="str">
        <x:v>https://www.p5w.net/roll/zqzx/202512/t20251201_6426020.htm</x:v>
      </x:c>
      <x:c r="L342" s="19"/>
      <x:c r="M342" s="19"/>
      <x:c r="N342" s="19"/>
      <x:c r="O342" s="19" t="str">
        <x:v>candidate-only</x:v>
      </x:c>
      <x:c r="P342" s="33" t="b">
        <x:v>0</x:v>
      </x:c>
      <x:c r="Q342" s="19" t="n">
        <x:v>1</x:v>
      </x:c>
      <x:c r="R342" s="19" t="str">
        <x:v>conditional-local-file-unavailable</x:v>
      </x:c>
    </x:row>
    <x:row r="343" ht="15" hidden="0" customHeight="1">
      <x:c r="A343" s="19" t="str">
        <x:v>R01–R04审计</x:v>
      </x:c>
      <x:c r="B343" s="19" t="str">
        <x:v>media-candidate-cambricon-72b022ed0c49</x:v>
      </x:c>
      <x:c r="C343" s="19" t="str">
        <x:v>寒武纪</x:v>
      </x:c>
      <x:c r="D343" s="19" t="str">
        <x:v>权威媒体候选</x:v>
      </x:c>
      <x:c r="E343" s="19" t="str">
        <x:v>无厘头！机器人“过气”大妖股突拉涨停，只因股民发帖求助？</x:v>
      </x:c>
      <x:c r="F343" s="19"/>
      <x:c r="G343" s="19"/>
      <x:c r="H343" s="19"/>
      <x:c r="I343" s="19" t="str">
        <x:v>2025-11-30</x:v>
      </x:c>
      <x:c r="J343" s="19" t="str">
        <x:v>https://www.p5w.net/roll/pcj/202511/t20251130_6425878.htm</x:v>
      </x:c>
      <x:c r="K343" s="19" t="str">
        <x:v>https://www.p5w.net/roll/pcj/202511/t20251130_6425878.htm</x:v>
      </x:c>
      <x:c r="L343" s="19"/>
      <x:c r="M343" s="19"/>
      <x:c r="N343" s="19"/>
      <x:c r="O343" s="19" t="str">
        <x:v>candidate-only</x:v>
      </x:c>
      <x:c r="P343" s="33" t="b">
        <x:v>0</x:v>
      </x:c>
      <x:c r="Q343" s="19" t="n">
        <x:v>1</x:v>
      </x:c>
      <x:c r="R343" s="19" t="str">
        <x:v>conditional-local-file-unavailable</x:v>
      </x:c>
    </x:row>
    <x:row r="344" ht="15" hidden="0" customHeight="1">
      <x:c r="A344" s="19" t="str">
        <x:v>R01–R04审计</x:v>
      </x:c>
      <x:c r="B344" s="19" t="str">
        <x:v>media-candidate-cambricon-28cf48f13d44</x:v>
      </x:c>
      <x:c r="C344" s="19" t="str">
        <x:v>寒武纪</x:v>
      </x:c>
      <x:c r="D344" s="19" t="str">
        <x:v>权威媒体候选</x:v>
      </x:c>
      <x:c r="E344" s="19" t="str">
        <x:v>一键打包“两创”AI龙头，科创创业人工智能ETF易方达（159140）等产品正式发行</x:v>
      </x:c>
      <x:c r="F344" s="19"/>
      <x:c r="G344" s="19"/>
      <x:c r="H344" s="19"/>
      <x:c r="I344" s="19" t="str">
        <x:v>2025-11-28</x:v>
      </x:c>
      <x:c r="J344" s="19" t="str">
        <x:v>https://www.p5w.net/roll/zqzx/202511/t20251128_6425703.htm</x:v>
      </x:c>
      <x:c r="K344" s="19" t="str">
        <x:v>https://www.p5w.net/roll/zqzx/202511/t20251128_6425703.htm</x:v>
      </x:c>
      <x:c r="L344" s="19"/>
      <x:c r="M344" s="19"/>
      <x:c r="N344" s="19"/>
      <x:c r="O344" s="19" t="str">
        <x:v>candidate-only</x:v>
      </x:c>
      <x:c r="P344" s="33" t="b">
        <x:v>0</x:v>
      </x:c>
      <x:c r="Q344" s="19" t="n">
        <x:v>1</x:v>
      </x:c>
      <x:c r="R344" s="19" t="str">
        <x:v>conditional-local-file-unavailable</x:v>
      </x:c>
    </x:row>
    <x:row r="345" ht="15" hidden="0" customHeight="1">
      <x:c r="A345" s="19" t="str">
        <x:v>R01–R04审计</x:v>
      </x:c>
      <x:c r="B345" s="19" t="str">
        <x:v>media-candidate-cambricon-0ae86fafa331</x:v>
      </x:c>
      <x:c r="C345" s="19" t="str">
        <x:v>寒武纪</x:v>
      </x:c>
      <x:c r="D345" s="19" t="str">
        <x:v>权威媒体候选</x:v>
      </x:c>
      <x:c r="E345" s="19" t="str">
        <x:v>全球大模型领域竞争持续白热化，数字经济ETF（560800）涨1.89%</x:v>
      </x:c>
      <x:c r="F345" s="19"/>
      <x:c r="G345" s="19"/>
      <x:c r="H345" s="19"/>
      <x:c r="I345" s="19" t="str">
        <x:v>2025-11-27</x:v>
      </x:c>
      <x:c r="J345" s="19" t="str">
        <x:v>https://www.p5w.net/roll/zqzx/202511/t20251127_6425460.htm</x:v>
      </x:c>
      <x:c r="K345" s="19" t="str">
        <x:v>https://www.p5w.net/roll/zqzx/202511/t20251127_6425460.htm</x:v>
      </x:c>
      <x:c r="L345" s="19"/>
      <x:c r="M345" s="19"/>
      <x:c r="N345" s="19"/>
      <x:c r="O345" s="19" t="str">
        <x:v>candidate-only</x:v>
      </x:c>
      <x:c r="P345" s="33" t="b">
        <x:v>0</x:v>
      </x:c>
      <x:c r="Q345" s="19" t="n">
        <x:v>1</x:v>
      </x:c>
      <x:c r="R345" s="19" t="str">
        <x:v>conditional-local-file-unavailable</x:v>
      </x:c>
    </x:row>
    <x:row r="346" ht="15" hidden="0" customHeight="1">
      <x:c r="A346" s="19" t="str">
        <x:v>R01–R04审计</x:v>
      </x:c>
      <x:c r="B346" s="19" t="str">
        <x:v>media-candidate-cambricon-39074eeeff3a</x:v>
      </x:c>
      <x:c r="C346" s="19" t="str">
        <x:v>寒武纪</x:v>
      </x:c>
      <x:c r="D346" s="19" t="str">
        <x:v>权威媒体候选</x:v>
      </x:c>
      <x:c r="E346" s="19" t="str">
        <x:v>AI算力需求激增，国产算力芯片持续优化，芯片ETF（159995）涨2.45%</x:v>
      </x:c>
      <x:c r="F346" s="19"/>
      <x:c r="G346" s="19"/>
      <x:c r="H346" s="19"/>
      <x:c r="I346" s="19" t="str">
        <x:v>2025-11-27</x:v>
      </x:c>
      <x:c r="J346" s="19" t="str">
        <x:v>https://www.p5w.net/roll/zqzx/202511/t20251127_6425443.htm</x:v>
      </x:c>
      <x:c r="K346" s="19" t="str">
        <x:v>https://www.p5w.net/roll/zqzx/202511/t20251127_6425443.htm</x:v>
      </x:c>
      <x:c r="L346" s="19"/>
      <x:c r="M346" s="19"/>
      <x:c r="N346" s="19"/>
      <x:c r="O346" s="19" t="str">
        <x:v>candidate-only</x:v>
      </x:c>
      <x:c r="P346" s="33" t="b">
        <x:v>0</x:v>
      </x:c>
      <x:c r="Q346" s="19" t="n">
        <x:v>1</x:v>
      </x:c>
      <x:c r="R346" s="19" t="str">
        <x:v>conditional-local-file-unavailable</x:v>
      </x:c>
    </x:row>
    <x:row r="347" ht="15" hidden="0" customHeight="1">
      <x:c r="A347" s="19" t="str">
        <x:v>R01–R04审计</x:v>
      </x:c>
      <x:c r="B347" s="19" t="str">
        <x:v>media-candidate-cambricon-e0a396c6d928</x:v>
      </x:c>
      <x:c r="C347" s="19" t="str">
        <x:v>寒武纪</x:v>
      </x:c>
      <x:c r="D347" s="19" t="str">
        <x:v>权威媒体候选</x:v>
      </x:c>
      <x:c r="E347" s="19" t="str">
        <x:v>人工智能板块午后持续走强，双创50ETF基金（588350）涨超4%</x:v>
      </x:c>
      <x:c r="F347" s="19"/>
      <x:c r="G347" s="19"/>
      <x:c r="H347" s="19"/>
      <x:c r="I347" s="19" t="str">
        <x:v>2025-11-26</x:v>
      </x:c>
      <x:c r="J347" s="19" t="str">
        <x:v>https://www.p5w.net/roll/zqzx/202511/t20251126_6425304.htm</x:v>
      </x:c>
      <x:c r="K347" s="19" t="str">
        <x:v>https://www.p5w.net/roll/zqzx/202511/t20251126_6425304.htm</x:v>
      </x:c>
      <x:c r="L347" s="19"/>
      <x:c r="M347" s="19"/>
      <x:c r="N347" s="19"/>
      <x:c r="O347" s="19" t="str">
        <x:v>candidate-only</x:v>
      </x:c>
      <x:c r="P347" s="33" t="b">
        <x:v>0</x:v>
      </x:c>
      <x:c r="Q347" s="19" t="n">
        <x:v>1</x:v>
      </x:c>
      <x:c r="R347" s="19" t="str">
        <x:v>conditional-local-file-unavailable</x:v>
      </x:c>
    </x:row>
    <x:row r="348" ht="15" hidden="0" customHeight="1">
      <x:c r="A348" s="19" t="str">
        <x:v>R01–R04审计</x:v>
      </x:c>
      <x:c r="B348" s="19" t="str">
        <x:v>media-candidate-cambricon-ccbb8883453a</x:v>
      </x:c>
      <x:c r="C348" s="19" t="str">
        <x:v>寒武纪</x:v>
      </x:c>
      <x:c r="D348" s="19" t="str">
        <x:v>权威媒体候选</x:v>
      </x:c>
      <x:c r="E348" s="19" t="str">
        <x:v>阿里巴巴最新财报公布，人工智能AIETF（515070）涨1.36%</x:v>
      </x:c>
      <x:c r="F348" s="19"/>
      <x:c r="G348" s="19"/>
      <x:c r="H348" s="19"/>
      <x:c r="I348" s="19" t="str">
        <x:v>2025-11-26</x:v>
      </x:c>
      <x:c r="J348" s="19" t="str">
        <x:v>https://www.p5w.net/roll/zqzx/202511/t20251126_6425254.htm</x:v>
      </x:c>
      <x:c r="K348" s="19" t="str">
        <x:v>https://www.p5w.net/roll/zqzx/202511/t20251126_6425254.htm</x:v>
      </x:c>
      <x:c r="L348" s="19"/>
      <x:c r="M348" s="19"/>
      <x:c r="N348" s="19"/>
      <x:c r="O348" s="19" t="str">
        <x:v>candidate-only</x:v>
      </x:c>
      <x:c r="P348" s="33" t="b">
        <x:v>0</x:v>
      </x:c>
      <x:c r="Q348" s="19" t="n">
        <x:v>1</x:v>
      </x:c>
      <x:c r="R348" s="19" t="str">
        <x:v>conditional-local-file-unavailable</x:v>
      </x:c>
    </x:row>
    <x:row r="349" ht="21.600000381469727" hidden="0" customHeight="1">
      <x:c r="A349" s="19" t="str">
        <x:v>R01–R04审计</x:v>
      </x:c>
      <x:c r="B349" s="19" t="str">
        <x:v>media-candidate-cambricon-3c0866e3110c</x:v>
      </x:c>
      <x:c r="C349" s="19" t="str">
        <x:v>寒武纪</x:v>
      </x:c>
      <x:c r="D349" s="19" t="str">
        <x:v>权威媒体候选</x:v>
      </x:c>
      <x:c r="E349" s="19" t="str">
        <x:v>AI与机器人盘前速递丨天开园打造京津冀小微特机器人产业集群，格力电器已开发机器人核心零部件！</x:v>
      </x:c>
      <x:c r="F349" s="19"/>
      <x:c r="G349" s="19"/>
      <x:c r="H349" s="19"/>
      <x:c r="I349" s="19" t="str">
        <x:v>2025-11-24</x:v>
      </x:c>
      <x:c r="J349" s="19" t="str">
        <x:v>https://www.p5w.net/roll/zqzx/202511/t20251124_6424693.htm</x:v>
      </x:c>
      <x:c r="K349" s="19" t="str">
        <x:v>https://www.p5w.net/roll/zqzx/202511/t20251124_6424693.htm</x:v>
      </x:c>
      <x:c r="L349" s="19"/>
      <x:c r="M349" s="19"/>
      <x:c r="N349" s="19"/>
      <x:c r="O349" s="19" t="str">
        <x:v>candidate-only</x:v>
      </x:c>
      <x:c r="P349" s="33" t="b">
        <x:v>0</x:v>
      </x:c>
      <x:c r="Q349" s="19" t="n">
        <x:v>1</x:v>
      </x:c>
      <x:c r="R349" s="19" t="str">
        <x:v>conditional-local-file-unavailable</x:v>
      </x:c>
    </x:row>
    <x:row r="350" ht="15" hidden="0" customHeight="1">
      <x:c r="A350" s="19" t="str">
        <x:v>R01–R04审计</x:v>
      </x:c>
      <x:c r="B350" s="19" t="str">
        <x:v>media-candidate-cambricon-583da62fb33e</x:v>
      </x:c>
      <x:c r="C350" s="19" t="str">
        <x:v>寒武纪</x:v>
      </x:c>
      <x:c r="D350" s="19" t="str">
        <x:v>权威媒体候选</x:v>
      </x:c>
      <x:c r="E350" s="19" t="str">
        <x:v>国产GPU迎上市热潮 算力芯片龙头江原科技战略入股品高股份</x:v>
      </x:c>
      <x:c r="F350" s="19"/>
      <x:c r="G350" s="19"/>
      <x:c r="H350" s="19"/>
      <x:c r="I350" s="19" t="str">
        <x:v>2025-11-21</x:v>
      </x:c>
      <x:c r="J350" s="19" t="str">
        <x:v>https://www.p5w.net/roll/company/202511/t20251121_6424581.htm</x:v>
      </x:c>
      <x:c r="K350" s="19" t="str">
        <x:v>https://www.p5w.net/roll/company/202511/t20251121_6424581.htm</x:v>
      </x:c>
      <x:c r="L350" s="19"/>
      <x:c r="M350" s="19"/>
      <x:c r="N350" s="19"/>
      <x:c r="O350" s="19" t="str">
        <x:v>candidate-only</x:v>
      </x:c>
      <x:c r="P350" s="33" t="b">
        <x:v>0</x:v>
      </x:c>
      <x:c r="Q350" s="19" t="n">
        <x:v>1</x:v>
      </x:c>
      <x:c r="R350" s="19" t="str">
        <x:v>conditional-local-file-unavailable</x:v>
      </x:c>
    </x:row>
    <x:row r="351" ht="15" hidden="0" customHeight="1">
      <x:c r="A351" s="19" t="str">
        <x:v>R01–R04审计</x:v>
      </x:c>
      <x:c r="B351" s="19" t="str">
        <x:v>media-candidate-cambricon-7b821647acb5</x:v>
      </x:c>
      <x:c r="C351" s="19" t="str">
        <x:v>寒武纪</x:v>
      </x:c>
      <x:c r="D351" s="19" t="str">
        <x:v>权威媒体候选</x:v>
      </x:c>
      <x:c r="E351" s="19" t="str">
        <x:v>7月以来融资余额增超三成 科技股最受青睐</x:v>
      </x:c>
      <x:c r="F351" s="19"/>
      <x:c r="G351" s="19"/>
      <x:c r="H351" s="19"/>
      <x:c r="I351" s="19" t="str">
        <x:v>2025-11-19</x:v>
      </x:c>
      <x:c r="J351" s="19" t="str">
        <x:v>https://www.p5w.net/roll/stock/202511/t20251119_6423932.htm</x:v>
      </x:c>
      <x:c r="K351" s="19" t="str">
        <x:v>https://www.p5w.net/roll/stock/202511/t20251119_6423932.htm</x:v>
      </x:c>
      <x:c r="L351" s="19"/>
      <x:c r="M351" s="19"/>
      <x:c r="N351" s="19"/>
      <x:c r="O351" s="19" t="str">
        <x:v>candidate-only</x:v>
      </x:c>
      <x:c r="P351" s="33" t="b">
        <x:v>0</x:v>
      </x:c>
      <x:c r="Q351" s="19" t="n">
        <x:v>1</x:v>
      </x:c>
      <x:c r="R351" s="19" t="str">
        <x:v>conditional-local-file-unavailable</x:v>
      </x:c>
    </x:row>
    <x:row r="352" ht="15" hidden="0" customHeight="1">
      <x:c r="A352" s="19" t="str">
        <x:v>R01–R04审计</x:v>
      </x:c>
      <x:c r="B352" s="19" t="str">
        <x:v>media-candidate-cambricon-28e817faeaee</x:v>
      </x:c>
      <x:c r="C352" s="19" t="str">
        <x:v>寒武纪</x:v>
      </x:c>
      <x:c r="D352" s="19" t="str">
        <x:v>权威媒体候选</x:v>
      </x:c>
      <x:c r="E352" s="19" t="str">
        <x:v>股市大跌！两大利空突袭</x:v>
      </x:c>
      <x:c r="F352" s="19"/>
      <x:c r="G352" s="19"/>
      <x:c r="H352" s="19"/>
      <x:c r="I352" s="19" t="str">
        <x:v>2025-11-18</x:v>
      </x:c>
      <x:c r="J352" s="19" t="str">
        <x:v>https://www.p5w.net/roll/zqzx/202511/t20251118_6423853.htm</x:v>
      </x:c>
      <x:c r="K352" s="19" t="str">
        <x:v>https://www.p5w.net/roll/zqzx/202511/t20251118_6423853.htm</x:v>
      </x:c>
      <x:c r="L352" s="19"/>
      <x:c r="M352" s="19"/>
      <x:c r="N352" s="19"/>
      <x:c r="O352" s="19" t="str">
        <x:v>candidate-only</x:v>
      </x:c>
      <x:c r="P352" s="33" t="b">
        <x:v>0</x:v>
      </x:c>
      <x:c r="Q352" s="19" t="n">
        <x:v>1</x:v>
      </x:c>
      <x:c r="R352" s="19" t="str">
        <x:v>conditional-local-file-unavailable</x:v>
      </x:c>
    </x:row>
    <x:row r="353" ht="15" hidden="0" customHeight="1">
      <x:c r="A353" s="19" t="str">
        <x:v>R01–R04审计</x:v>
      </x:c>
      <x:c r="B353" s="19" t="str">
        <x:v>media-candidate-cambricon-39e0ee5812be</x:v>
      </x:c>
      <x:c r="C353" s="19" t="str">
        <x:v>寒武纪</x:v>
      </x:c>
      <x:c r="D353" s="19" t="str">
        <x:v>权威媒体候选</x:v>
      </x:c>
      <x:c r="E353" s="19" t="str">
        <x:v>26年美国科技巨头投资计划仍有增长，半导体材料ETF（562590）午后逆势上涨</x:v>
      </x:c>
      <x:c r="F353" s="19"/>
      <x:c r="G353" s="19"/>
      <x:c r="H353" s="19"/>
      <x:c r="I353" s="19" t="str">
        <x:v>2025-11-18</x:v>
      </x:c>
      <x:c r="J353" s="19" t="str">
        <x:v>https://www.p5w.net/roll/zqzx/202511/t20251118_6423833.htm</x:v>
      </x:c>
      <x:c r="K353" s="19" t="str">
        <x:v>https://www.p5w.net/roll/zqzx/202511/t20251118_6423833.htm</x:v>
      </x:c>
      <x:c r="L353" s="19"/>
      <x:c r="M353" s="19"/>
      <x:c r="N353" s="19"/>
      <x:c r="O353" s="19" t="str">
        <x:v>candidate-only</x:v>
      </x:c>
      <x:c r="P353" s="33" t="b">
        <x:v>0</x:v>
      </x:c>
      <x:c r="Q353" s="19" t="n">
        <x:v>1</x:v>
      </x:c>
      <x:c r="R353" s="19" t="str">
        <x:v>conditional-local-file-unavailable</x:v>
      </x:c>
    </x:row>
    <x:row r="354" ht="21.600000381469727" hidden="0" customHeight="1">
      <x:c r="A354" s="19" t="str">
        <x:v>R01–R04审计</x:v>
      </x:c>
      <x:c r="B354" s="19" t="str">
        <x:v>media-candidate-cambricon-5e04653ae442</x:v>
      </x:c>
      <x:c r="C354" s="19" t="str">
        <x:v>寒武纪</x:v>
      </x:c>
      <x:c r="D354" s="19" t="str">
        <x:v>权威媒体候选</x:v>
      </x:c>
      <x:c r="E354" s="19" t="str">
        <x:v>全球科技巨头进一步加码2026年AI基础设施投资，数字经济ETF（560800）涨1.24%</x:v>
      </x:c>
      <x:c r="F354" s="19"/>
      <x:c r="G354" s="19"/>
      <x:c r="H354" s="19"/>
      <x:c r="I354" s="19" t="str">
        <x:v>2025-11-18</x:v>
      </x:c>
      <x:c r="J354" s="19" t="str">
        <x:v>https://www.p5w.net/roll/zqzx/202511/t20251118_6423822.htm</x:v>
      </x:c>
      <x:c r="K354" s="19" t="str">
        <x:v>https://www.p5w.net/roll/zqzx/202511/t20251118_6423822.htm</x:v>
      </x:c>
      <x:c r="L354" s="19"/>
      <x:c r="M354" s="19"/>
      <x:c r="N354" s="19"/>
      <x:c r="O354" s="19" t="str">
        <x:v>candidate-only</x:v>
      </x:c>
      <x:c r="P354" s="33" t="b">
        <x:v>0</x:v>
      </x:c>
      <x:c r="Q354" s="19" t="n">
        <x:v>1</x:v>
      </x:c>
      <x:c r="R354" s="19" t="str">
        <x:v>conditional-local-file-unavailable</x:v>
      </x:c>
    </x:row>
    <x:row r="355" ht="15" hidden="0" customHeight="1">
      <x:c r="A355" s="19" t="str">
        <x:v>R01–R04审计</x:v>
      </x:c>
      <x:c r="B355" s="19" t="str">
        <x:v>media-candidate-cambricon-91a27af66e1a</x:v>
      </x:c>
      <x:c r="C355" s="19" t="str">
        <x:v>寒武纪</x:v>
      </x:c>
      <x:c r="D355" s="19" t="str">
        <x:v>权威媒体候选</x:v>
      </x:c>
      <x:c r="E355" s="19" t="str">
        <x:v>今年以来半导体A股市值增长1.86万亿元，双创50ETF基金（588350）早盘小幅上涨</x:v>
      </x:c>
      <x:c r="F355" s="19"/>
      <x:c r="G355" s="19"/>
      <x:c r="H355" s="19"/>
      <x:c r="I355" s="19" t="str">
        <x:v>2025-11-18</x:v>
      </x:c>
      <x:c r="J355" s="19" t="str">
        <x:v>https://www.p5w.net/roll/zqzx/202511/t20251118_6423762.htm</x:v>
      </x:c>
      <x:c r="K355" s="19" t="str">
        <x:v>https://www.p5w.net/roll/zqzx/202511/t20251118_6423762.htm</x:v>
      </x:c>
      <x:c r="L355" s="19"/>
      <x:c r="M355" s="19"/>
      <x:c r="N355" s="19"/>
      <x:c r="O355" s="19" t="str">
        <x:v>candidate-only</x:v>
      </x:c>
      <x:c r="P355" s="33" t="b">
        <x:v>0</x:v>
      </x:c>
      <x:c r="Q355" s="19" t="n">
        <x:v>1</x:v>
      </x:c>
      <x:c r="R355" s="19" t="str">
        <x:v>conditional-local-file-unavailable</x:v>
      </x:c>
    </x:row>
    <x:row r="356" ht="15" hidden="0" customHeight="1">
      <x:c r="A356" s="19" t="str">
        <x:v>R01–R04审计</x:v>
      </x:c>
      <x:c r="B356" s="19" t="str">
        <x:v>media-candidate-cambricon-fbbb67254f51</x:v>
      </x:c>
      <x:c r="C356" s="19" t="str">
        <x:v>寒武纪</x:v>
      </x:c>
      <x:c r="D356" s="19" t="str">
        <x:v>权威媒体候选</x:v>
      </x:c>
      <x:c r="E356" s="19" t="str">
        <x:v>中国国际半导体博览会即将开幕 高增长潜力概念股浮现</x:v>
      </x:c>
      <x:c r="F356" s="19"/>
      <x:c r="G356" s="19"/>
      <x:c r="H356" s="19"/>
      <x:c r="I356" s="19" t="str">
        <x:v>2025-11-18</x:v>
      </x:c>
      <x:c r="J356" s="19" t="str">
        <x:v>https://www.p5w.net/roll/stock/202511/t20251118_6423731.htm</x:v>
      </x:c>
      <x:c r="K356" s="19" t="str">
        <x:v>https://www.p5w.net/roll/stock/202511/t20251118_6423731.htm</x:v>
      </x:c>
      <x:c r="L356" s="19"/>
      <x:c r="M356" s="19"/>
      <x:c r="N356" s="19"/>
      <x:c r="O356" s="19" t="str">
        <x:v>candidate-only</x:v>
      </x:c>
      <x:c r="P356" s="33" t="b">
        <x:v>0</x:v>
      </x:c>
      <x:c r="Q356" s="19" t="n">
        <x:v>1</x:v>
      </x:c>
      <x:c r="R356" s="19" t="str">
        <x:v>conditional-local-file-unavailable</x:v>
      </x:c>
    </x:row>
    <x:row r="357" ht="15" hidden="0" customHeight="1">
      <x:c r="A357" s="19" t="str">
        <x:v>R01–R04审计</x:v>
      </x:c>
      <x:c r="B357" s="19" t="str">
        <x:v>media-candidate-cambricon-e530e6a97825</x:v>
      </x:c>
      <x:c r="C357" s="19" t="str">
        <x:v>寒武纪</x:v>
      </x:c>
      <x:c r="D357" s="19" t="str">
        <x:v>权威媒体候选</x:v>
      </x:c>
      <x:c r="E357" s="19" t="str">
        <x:v>新能源赛道午后持续拉升，双创50ETF基金（588350）涨1.08%</x:v>
      </x:c>
      <x:c r="F357" s="19"/>
      <x:c r="G357" s="19"/>
      <x:c r="H357" s="19"/>
      <x:c r="I357" s="19" t="str">
        <x:v>2025-11-13</x:v>
      </x:c>
      <x:c r="J357" s="19" t="str">
        <x:v>https://www.p5w.net/roll/zqzx/202511/t20251113_6423086.htm</x:v>
      </x:c>
      <x:c r="K357" s="19" t="str">
        <x:v>https://www.p5w.net/roll/zqzx/202511/t20251113_6423086.htm</x:v>
      </x:c>
      <x:c r="L357" s="19"/>
      <x:c r="M357" s="19"/>
      <x:c r="N357" s="19"/>
      <x:c r="O357" s="19" t="str">
        <x:v>candidate-only</x:v>
      </x:c>
      <x:c r="P357" s="33" t="b">
        <x:v>0</x:v>
      </x:c>
      <x:c r="Q357" s="19" t="n">
        <x:v>1</x:v>
      </x:c>
      <x:c r="R357" s="19" t="str">
        <x:v>conditional-local-file-unavailable</x:v>
      </x:c>
    </x:row>
    <x:row r="358" ht="15" hidden="0" customHeight="1">
      <x:c r="A358" s="19" t="str">
        <x:v>R01–R04审计</x:v>
      </x:c>
      <x:c r="B358" s="19" t="str">
        <x:v>media-candidate-cambricon-ded5b5cd073c</x:v>
      </x:c>
      <x:c r="C358" s="19" t="str">
        <x:v>寒武纪</x:v>
      </x:c>
      <x:c r="D358" s="19" t="str">
        <x:v>权威媒体候选</x:v>
      </x:c>
      <x:c r="E358" s="19" t="str">
        <x:v>10月以来融资资金加仓三大行业 青睐业绩高增长股</x:v>
      </x:c>
      <x:c r="F358" s="19"/>
      <x:c r="G358" s="19"/>
      <x:c r="H358" s="19"/>
      <x:c r="I358" s="19" t="str">
        <x:v>2025-11-12</x:v>
      </x:c>
      <x:c r="J358" s="19" t="str">
        <x:v>https://www.p5w.net/roll/stock/202511/t20251112_6422729.htm</x:v>
      </x:c>
      <x:c r="K358" s="19" t="str">
        <x:v>https://www.p5w.net/roll/stock/202511/t20251112_6422729.htm</x:v>
      </x:c>
      <x:c r="L358" s="19"/>
      <x:c r="M358" s="19"/>
      <x:c r="N358" s="19"/>
      <x:c r="O358" s="19" t="str">
        <x:v>candidate-only</x:v>
      </x:c>
      <x:c r="P358" s="33" t="b">
        <x:v>0</x:v>
      </x:c>
      <x:c r="Q358" s="19" t="n">
        <x:v>1</x:v>
      </x:c>
      <x:c r="R358" s="19" t="str">
        <x:v>conditional-local-file-unavailable</x:v>
      </x:c>
    </x:row>
    <x:row r="359" ht="15" hidden="0" customHeight="1">
      <x:c r="A359" s="19" t="str">
        <x:v>R01–R04审计</x:v>
      </x:c>
      <x:c r="B359" s="19" t="str">
        <x:v>media-candidate-cambricon-5e74eb84a11e</x:v>
      </x:c>
      <x:c r="C359" s="19" t="str">
        <x:v>寒武纪</x:v>
      </x:c>
      <x:c r="D359" s="19" t="str">
        <x:v>权威媒体候选</x:v>
      </x:c>
      <x:c r="E359" s="19" t="str">
        <x:v>成长赛道共振“十五五”，如何通过主动型基金参与？</x:v>
      </x:c>
      <x:c r="F359" s="19"/>
      <x:c r="G359" s="19"/>
      <x:c r="H359" s="19"/>
      <x:c r="I359" s="19" t="str">
        <x:v>2025-11-11</x:v>
      </x:c>
      <x:c r="J359" s="19" t="str">
        <x:v>https://www.p5w.net/roll/zqzx/202511/t20251111_6422657.htm</x:v>
      </x:c>
      <x:c r="K359" s="19" t="str">
        <x:v>https://www.p5w.net/roll/zqzx/202511/t20251111_6422657.htm</x:v>
      </x:c>
      <x:c r="L359" s="19"/>
      <x:c r="M359" s="19"/>
      <x:c r="N359" s="19"/>
      <x:c r="O359" s="19" t="str">
        <x:v>candidate-only</x:v>
      </x:c>
      <x:c r="P359" s="33" t="b">
        <x:v>0</x:v>
      </x:c>
      <x:c r="Q359" s="19" t="n">
        <x:v>1</x:v>
      </x:c>
      <x:c r="R359" s="19" t="str">
        <x:v>conditional-local-file-unavailable</x:v>
      </x:c>
    </x:row>
    <x:row r="360" ht="15" hidden="0" customHeight="1">
      <x:c r="A360" s="19" t="str">
        <x:v>R01–R04审计</x:v>
      </x:c>
      <x:c r="B360" s="19" t="str">
        <x:v>media-candidate-cambricon-1cb401895446</x:v>
      </x:c>
      <x:c r="C360" s="19" t="str">
        <x:v>寒武纪</x:v>
      </x:c>
      <x:c r="D360" s="19" t="str">
        <x:v>权威媒体候选</x:v>
      </x:c>
      <x:c r="E360" s="19" t="str">
        <x:v>易方达芯片ETF捕捉存储芯片板块强势行情</x:v>
      </x:c>
      <x:c r="F360" s="19"/>
      <x:c r="G360" s="19"/>
      <x:c r="H360" s="19"/>
      <x:c r="I360" s="19" t="str">
        <x:v>2025-11-11</x:v>
      </x:c>
      <x:c r="J360" s="19" t="str">
        <x:v>https://www.p5w.net/roll/pcj/202511/t20251111_6422538.htm</x:v>
      </x:c>
      <x:c r="K360" s="19" t="str">
        <x:v>https://www.p5w.net/roll/pcj/202511/t20251111_6422538.htm</x:v>
      </x:c>
      <x:c r="L360" s="19"/>
      <x:c r="M360" s="19"/>
      <x:c r="N360" s="19"/>
      <x:c r="O360" s="19" t="str">
        <x:v>candidate-only</x:v>
      </x:c>
      <x:c r="P360" s="33" t="b">
        <x:v>0</x:v>
      </x:c>
      <x:c r="Q360" s="19" t="n">
        <x:v>1</x:v>
      </x:c>
      <x:c r="R360" s="19" t="str">
        <x:v>conditional-local-file-unavailable</x:v>
      </x:c>
    </x:row>
    <x:row r="361" ht="15" hidden="0" customHeight="1">
      <x:c r="A361" s="19" t="str">
        <x:v>R01–R04审计</x:v>
      </x:c>
      <x:c r="B361" s="19" t="str">
        <x:v>media-candidate-cambricon-a3de8bb050d9</x:v>
      </x:c>
      <x:c r="C361" s="19" t="str">
        <x:v>寒武纪</x:v>
      </x:c>
      <x:c r="D361" s="19" t="str">
        <x:v>权威媒体候选</x:v>
      </x:c>
      <x:c r="E361" s="19" t="str">
        <x:v>算力上天！太空数据中心重大进展 六大概念股盘点（名单）</x:v>
      </x:c>
      <x:c r="F361" s="19"/>
      <x:c r="G361" s="19"/>
      <x:c r="H361" s="19"/>
      <x:c r="I361" s="19" t="str">
        <x:v>2025-11-10</x:v>
      </x:c>
      <x:c r="J361" s="19" t="str">
        <x:v>https://www.p5w.net/roll/zqzx/202511/t20251110_6422409.htm</x:v>
      </x:c>
      <x:c r="K361" s="19" t="str">
        <x:v>https://www.p5w.net/roll/zqzx/202511/t20251110_6422409.htm</x:v>
      </x:c>
      <x:c r="L361" s="19"/>
      <x:c r="M361" s="19"/>
      <x:c r="N361" s="19"/>
      <x:c r="O361" s="19" t="str">
        <x:v>candidate-only</x:v>
      </x:c>
      <x:c r="P361" s="33" t="b">
        <x:v>0</x:v>
      </x:c>
      <x:c r="Q361" s="19" t="n">
        <x:v>1</x:v>
      </x:c>
      <x:c r="R361" s="19" t="str">
        <x:v>conditional-local-file-unavailable</x:v>
      </x:c>
    </x:row>
    <x:row r="362" ht="15" hidden="0" customHeight="1">
      <x:c r="A362" s="19" t="str">
        <x:v>R01–R04审计</x:v>
      </x:c>
      <x:c r="B362" s="19" t="str">
        <x:v>media-candidate-cambricon-04596d7b0f12</x:v>
      </x:c>
      <x:c r="C362" s="19" t="str">
        <x:v>寒武纪</x:v>
      </x:c>
      <x:c r="D362" s="19" t="str">
        <x:v>权威媒体候选</x:v>
      </x:c>
      <x:c r="E362" s="19" t="str">
        <x:v>华致酒行喜获“卓越品牌奖”，品牌实力再获权威认可</x:v>
      </x:c>
      <x:c r="F362" s="19"/>
      <x:c r="G362" s="19"/>
      <x:c r="H362" s="19"/>
      <x:c r="I362" s="19" t="str">
        <x:v>2025-11-10</x:v>
      </x:c>
      <x:c r="J362" s="19" t="str">
        <x:v>https://www.p5w.net/roll/zqzx/202511/t20251110_6422315.htm</x:v>
      </x:c>
      <x:c r="K362" s="19" t="str">
        <x:v>https://www.p5w.net/roll/zqzx/202511/t20251110_6422315.htm</x:v>
      </x:c>
      <x:c r="L362" s="19"/>
      <x:c r="M362" s="19"/>
      <x:c r="N362" s="19"/>
      <x:c r="O362" s="19" t="str">
        <x:v>candidate-only</x:v>
      </x:c>
      <x:c r="P362" s="33" t="b">
        <x:v>0</x:v>
      </x:c>
      <x:c r="Q362" s="19" t="n">
        <x:v>1</x:v>
      </x:c>
      <x:c r="R362" s="19" t="str">
        <x:v>conditional-local-file-unavailable</x:v>
      </x:c>
    </x:row>
    <x:row r="363" ht="15" hidden="0" customHeight="1">
      <x:c r="A363" s="19" t="str">
        <x:v>R01–R04审计</x:v>
      </x:c>
      <x:c r="B363" s="19" t="str">
        <x:v>media-candidate-cambricon-c7003bd85e14</x:v>
      </x:c>
      <x:c r="C363" s="19" t="str">
        <x:v>寒武纪</x:v>
      </x:c>
      <x:c r="D363" s="19" t="str">
        <x:v>权威媒体候选</x:v>
      </x:c>
      <x:c r="E363" s="19" t="str">
        <x:v>易方达芯片ETF捕捉存储芯片板块高开机遇</x:v>
      </x:c>
      <x:c r="F363" s="19"/>
      <x:c r="G363" s="19"/>
      <x:c r="H363" s="19"/>
      <x:c r="I363" s="19" t="str">
        <x:v>2025-11-10</x:v>
      </x:c>
      <x:c r="J363" s="19" t="str">
        <x:v>https://www.p5w.net/roll/pcj/202511/t20251110_6422300.htm</x:v>
      </x:c>
      <x:c r="K363" s="19" t="str">
        <x:v>https://www.p5w.net/roll/pcj/202511/t20251110_6422300.htm</x:v>
      </x:c>
      <x:c r="L363" s="19"/>
      <x:c r="M363" s="19"/>
      <x:c r="N363" s="19"/>
      <x:c r="O363" s="19" t="str">
        <x:v>candidate-only</x:v>
      </x:c>
      <x:c r="P363" s="33" t="b">
        <x:v>0</x:v>
      </x:c>
      <x:c r="Q363" s="19" t="n">
        <x:v>1</x:v>
      </x:c>
      <x:c r="R363" s="19" t="str">
        <x:v>conditional-local-file-unavailable</x:v>
      </x:c>
    </x:row>
    <x:row r="364" ht="15" hidden="0" customHeight="1">
      <x:c r="A364" s="19" t="str">
        <x:v>R01–R04审计</x:v>
      </x:c>
      <x:c r="B364" s="19" t="str">
        <x:v>media-candidate-cambricon-21095803835f</x:v>
      </x:c>
      <x:c r="C364" s="19" t="str">
        <x:v>寒武纪</x:v>
      </x:c>
      <x:c r="D364" s="19" t="str">
        <x:v>权威媒体候选</x:v>
      </x:c>
      <x:c r="E364" s="19" t="str">
        <x:v>聚势·兴新∣证券之星第十三届资本力量年度品牌活动圆满落幕</x:v>
      </x:c>
      <x:c r="F364" s="19"/>
      <x:c r="G364" s="19"/>
      <x:c r="H364" s="19"/>
      <x:c r="I364" s="19" t="str">
        <x:v>2025-11-08</x:v>
      </x:c>
      <x:c r="J364" s="19" t="str">
        <x:v>https://www.p5w.net/roll/zqzx/202511/t20251108_6422146.htm</x:v>
      </x:c>
      <x:c r="K364" s="19" t="str">
        <x:v>https://www.p5w.net/roll/zqzx/202511/t20251108_6422146.htm</x:v>
      </x:c>
      <x:c r="L364" s="19"/>
      <x:c r="M364" s="19"/>
      <x:c r="N364" s="19"/>
      <x:c r="O364" s="19" t="str">
        <x:v>candidate-only</x:v>
      </x:c>
      <x:c r="P364" s="33" t="b">
        <x:v>0</x:v>
      </x:c>
      <x:c r="Q364" s="19" t="n">
        <x:v>1</x:v>
      </x:c>
      <x:c r="R364" s="19" t="str">
        <x:v>conditional-local-file-unavailable</x:v>
      </x:c>
    </x:row>
    <x:row r="365" ht="15" hidden="0" customHeight="1">
      <x:c r="A365" s="19" t="str">
        <x:v>R01–R04审计</x:v>
      </x:c>
      <x:c r="B365" s="19" t="str">
        <x:v>media-candidate-cambricon-2f096f388d6b</x:v>
      </x:c>
      <x:c r="C365" s="19" t="str">
        <x:v>寒武纪</x:v>
      </x:c>
      <x:c r="D365" s="19" t="str">
        <x:v>权威媒体候选</x:v>
      </x:c>
      <x:c r="E365" s="19" t="str">
        <x:v>AI泡沫？三个维度拆解工业富联后市走向</x:v>
      </x:c>
      <x:c r="F365" s="19"/>
      <x:c r="G365" s="19"/>
      <x:c r="H365" s="19"/>
      <x:c r="I365" s="19" t="str">
        <x:v>2025-11-07</x:v>
      </x:c>
      <x:c r="J365" s="19" t="str">
        <x:v>https://www.p5w.net/roll/finance/202511/t20251107_6421936.htm</x:v>
      </x:c>
      <x:c r="K365" s="19" t="str">
        <x:v>https://www.p5w.net/roll/finance/202511/t20251107_6421936.htm</x:v>
      </x:c>
      <x:c r="L365" s="19"/>
      <x:c r="M365" s="19"/>
      <x:c r="N365" s="19"/>
      <x:c r="O365" s="19" t="str">
        <x:v>candidate-only</x:v>
      </x:c>
      <x:c r="P365" s="33" t="b">
        <x:v>0</x:v>
      </x:c>
      <x:c r="Q365" s="19" t="n">
        <x:v>1</x:v>
      </x:c>
      <x:c r="R365" s="19" t="str">
        <x:v>conditional-local-file-unavailable</x:v>
      </x:c>
    </x:row>
    <x:row r="366" ht="15" hidden="0" customHeight="1">
      <x:c r="A366" s="19" t="str">
        <x:v>R01–R04审计</x:v>
      </x:c>
      <x:c r="B366" s="19" t="str">
        <x:v>media-candidate-cambricon-c7dadd3e21e6</x:v>
      </x:c>
      <x:c r="C366" s="19" t="str">
        <x:v>寒武纪</x:v>
      </x:c>
      <x:c r="D366" s="19" t="str">
        <x:v>权威媒体候选</x:v>
      </x:c>
      <x:c r="E366" s="19" t="str">
        <x:v>A股大涨！将有重大变化</x:v>
      </x:c>
      <x:c r="F366" s="19"/>
      <x:c r="G366" s="19"/>
      <x:c r="H366" s="19"/>
      <x:c r="I366" s="19" t="str">
        <x:v>2025-11-06</x:v>
      </x:c>
      <x:c r="J366" s="19" t="str">
        <x:v>https://www.p5w.net/roll/zqzx/202511/t20251106_6421854.htm</x:v>
      </x:c>
      <x:c r="K366" s="19" t="str">
        <x:v>https://www.p5w.net/roll/zqzx/202511/t20251106_6421854.htm</x:v>
      </x:c>
      <x:c r="L366" s="19"/>
      <x:c r="M366" s="19"/>
      <x:c r="N366" s="19"/>
      <x:c r="O366" s="19" t="str">
        <x:v>candidate-only</x:v>
      </x:c>
      <x:c r="P366" s="33" t="b">
        <x:v>0</x:v>
      </x:c>
      <x:c r="Q366" s="19" t="n">
        <x:v>1</x:v>
      </x:c>
      <x:c r="R366" s="19" t="str">
        <x:v>conditional-local-file-unavailable</x:v>
      </x:c>
    </x:row>
    <x:row r="367" ht="15" hidden="0" customHeight="1">
      <x:c r="A367" s="19" t="str">
        <x:v>R01–R04审计</x:v>
      </x:c>
      <x:c r="B367" s="19" t="str">
        <x:v>media-candidate-cambricon-f0365821f1ba</x:v>
      </x:c>
      <x:c r="C367" s="19" t="str">
        <x:v>寒武纪</x:v>
      </x:c>
      <x:c r="D367" s="19" t="str">
        <x:v>权威媒体候选</x:v>
      </x:c>
      <x:c r="E367" s="19" t="str">
        <x:v>业绩领跑同行，莲花控股从调味品转型AI新势力，科技版图再落子</x:v>
      </x:c>
      <x:c r="F367" s="19"/>
      <x:c r="G367" s="19"/>
      <x:c r="H367" s="19"/>
      <x:c r="I367" s="19" t="str">
        <x:v>2025-11-06</x:v>
      </x:c>
      <x:c r="J367" s="19" t="str">
        <x:v>https://www.p5w.net/roll/pcj/202511/t20251106_6421847.htm</x:v>
      </x:c>
      <x:c r="K367" s="19" t="str">
        <x:v>https://www.p5w.net/roll/pcj/202511/t20251106_6421847.htm</x:v>
      </x:c>
      <x:c r="L367" s="19"/>
      <x:c r="M367" s="19"/>
      <x:c r="N367" s="19"/>
      <x:c r="O367" s="19" t="str">
        <x:v>candidate-only</x:v>
      </x:c>
      <x:c r="P367" s="33" t="b">
        <x:v>0</x:v>
      </x:c>
      <x:c r="Q367" s="19" t="n">
        <x:v>1</x:v>
      </x:c>
      <x:c r="R367" s="19" t="str">
        <x:v>conditional-local-file-unavailable</x:v>
      </x:c>
    </x:row>
    <x:row r="368" ht="15" hidden="0" customHeight="1">
      <x:c r="A368" s="19" t="str">
        <x:v>R01–R04审计</x:v>
      </x:c>
      <x:c r="B368" s="19" t="str">
        <x:v>media-candidate-cambricon-08a41a5c2c59</x:v>
      </x:c>
      <x:c r="C368" s="19" t="str">
        <x:v>寒武纪</x:v>
      </x:c>
      <x:c r="D368" s="19" t="str">
        <x:v>权威媒体候选</x:v>
      </x:c>
      <x:c r="E368" s="19" t="str">
        <x:v>十五五”规划建议明确坚持发展实体经济，兴业上证180ETF（530680）涨1.61%</x:v>
      </x:c>
      <x:c r="F368" s="19"/>
      <x:c r="G368" s="19"/>
      <x:c r="H368" s="19"/>
      <x:c r="I368" s="19" t="str">
        <x:v>2025-11-06</x:v>
      </x:c>
      <x:c r="J368" s="19" t="str">
        <x:v>https://www.p5w.net/roll/zqzx/202511/t20251106_6421765.htm</x:v>
      </x:c>
      <x:c r="K368" s="19" t="str">
        <x:v>https://www.p5w.net/roll/zqzx/202511/t20251106_6421765.htm</x:v>
      </x:c>
      <x:c r="L368" s="19"/>
      <x:c r="M368" s="19"/>
      <x:c r="N368" s="19"/>
      <x:c r="O368" s="19" t="str">
        <x:v>candidate-only</x:v>
      </x:c>
      <x:c r="P368" s="33" t="b">
        <x:v>0</x:v>
      </x:c>
      <x:c r="Q368" s="19" t="n">
        <x:v>1</x:v>
      </x:c>
      <x:c r="R368" s="19" t="str">
        <x:v>conditional-local-file-unavailable</x:v>
      </x:c>
    </x:row>
    <x:row r="369" ht="15" hidden="0" customHeight="1">
      <x:c r="A369" s="19" t="str">
        <x:v>R01–R04审计</x:v>
      </x:c>
      <x:c r="B369" s="19" t="str">
        <x:v>media-candidate-cambricon-252f5677f488</x:v>
      </x:c>
      <x:c r="C369" s="19" t="str">
        <x:v>寒武纪</x:v>
      </x:c>
      <x:c r="D369" s="19" t="str">
        <x:v>权威媒体候选</x:v>
      </x:c>
      <x:c r="E369" s="19" t="str">
        <x:v>AI基础设施资本开支加速增长，数字经济ETF（560800）涨1.09%</x:v>
      </x:c>
      <x:c r="F369" s="19"/>
      <x:c r="G369" s="19"/>
      <x:c r="H369" s="19"/>
      <x:c r="I369" s="19" t="str">
        <x:v>2025-11-06</x:v>
      </x:c>
      <x:c r="J369" s="19" t="str">
        <x:v>https://www.p5w.net/roll/zqzx/202511/t20251106_6421736.htm</x:v>
      </x:c>
      <x:c r="K369" s="19" t="str">
        <x:v>https://www.p5w.net/roll/zqzx/202511/t20251106_6421736.htm</x:v>
      </x:c>
      <x:c r="L369" s="19"/>
      <x:c r="M369" s="19"/>
      <x:c r="N369" s="19"/>
      <x:c r="O369" s="19" t="str">
        <x:v>candidate-only</x:v>
      </x:c>
      <x:c r="P369" s="33" t="b">
        <x:v>0</x:v>
      </x:c>
      <x:c r="Q369" s="19" t="n">
        <x:v>1</x:v>
      </x:c>
      <x:c r="R369" s="19" t="str">
        <x:v>conditional-local-file-unavailable</x:v>
      </x:c>
    </x:row>
    <x:row r="370" ht="15" hidden="0" customHeight="1">
      <x:c r="A370" s="19" t="str">
        <x:v>R01–R04审计</x:v>
      </x:c>
      <x:c r="B370" s="19" t="str">
        <x:v>media-candidate-cambricon-32230b71bfe8</x:v>
      </x:c>
      <x:c r="C370" s="19" t="str">
        <x:v>寒武纪</x:v>
      </x:c>
      <x:c r="D370" s="19" t="str">
        <x:v>权威媒体候选</x:v>
      </x:c>
      <x:c r="E370" s="19" t="str">
        <x:v>易方达芯片ETF把握存储芯片板块高景气机遇</x:v>
      </x:c>
      <x:c r="F370" s="19"/>
      <x:c r="G370" s="19"/>
      <x:c r="H370" s="19"/>
      <x:c r="I370" s="19" t="str">
        <x:v>2025-11-06</x:v>
      </x:c>
      <x:c r="J370" s="19" t="str">
        <x:v>https://www.p5w.net/roll/pcj/202511/t20251106_6421730.htm</x:v>
      </x:c>
      <x:c r="K370" s="19" t="str">
        <x:v>https://www.p5w.net/roll/pcj/202511/t20251106_6421730.htm</x:v>
      </x:c>
      <x:c r="L370" s="19"/>
      <x:c r="M370" s="19"/>
      <x:c r="N370" s="19"/>
      <x:c r="O370" s="19" t="str">
        <x:v>candidate-only</x:v>
      </x:c>
      <x:c r="P370" s="33" t="b">
        <x:v>0</x:v>
      </x:c>
      <x:c r="Q370" s="19" t="n">
        <x:v>1</x:v>
      </x:c>
      <x:c r="R370" s="19" t="str">
        <x:v>conditional-local-file-unavailable</x:v>
      </x:c>
    </x:row>
    <x:row r="371" ht="15" hidden="0" customHeight="1">
      <x:c r="A371" s="19" t="str">
        <x:v>R01–R04审计</x:v>
      </x:c>
      <x:c r="B371" s="19" t="str">
        <x:v>media-candidate-cambricon-2809f0bd25a2</x:v>
      </x:c>
      <x:c r="C371" s="19" t="str">
        <x:v>寒武纪</x:v>
      </x:c>
      <x:c r="D371" s="19" t="str">
        <x:v>权威媒体候选</x:v>
      </x:c>
      <x:c r="E371" s="19" t="str">
        <x:v>AI应用商业化有望持续加速落地，人工智能AIETF（515070）涨1.51%</x:v>
      </x:c>
      <x:c r="F371" s="19"/>
      <x:c r="G371" s="19"/>
      <x:c r="H371" s="19"/>
      <x:c r="I371" s="19" t="str">
        <x:v>2025-11-06</x:v>
      </x:c>
      <x:c r="J371" s="19" t="str">
        <x:v>https://www.p5w.net/roll/zqzx/202511/t20251106_6421726.htm</x:v>
      </x:c>
      <x:c r="K371" s="19" t="str">
        <x:v>https://www.p5w.net/roll/zqzx/202511/t20251106_6421726.htm</x:v>
      </x:c>
      <x:c r="L371" s="19"/>
      <x:c r="M371" s="19"/>
      <x:c r="N371" s="19"/>
      <x:c r="O371" s="19" t="str">
        <x:v>candidate-only</x:v>
      </x:c>
      <x:c r="P371" s="33" t="b">
        <x:v>0</x:v>
      </x:c>
      <x:c r="Q371" s="19" t="n">
        <x:v>1</x:v>
      </x:c>
      <x:c r="R371" s="19" t="str">
        <x:v>conditional-local-file-unavailable</x:v>
      </x:c>
    </x:row>
    <x:row r="372" ht="15" hidden="0" customHeight="1">
      <x:c r="A372" s="19" t="str">
        <x:v>R01–R04审计</x:v>
      </x:c>
      <x:c r="B372" s="19" t="str">
        <x:v>media-candidate-cambricon-4ce92a363fd1</x:v>
      </x:c>
      <x:c r="C372" s="19" t="str">
        <x:v>寒武纪</x:v>
      </x:c>
      <x:c r="D372" s="19" t="str">
        <x:v>权威媒体候选</x:v>
      </x:c>
      <x:c r="E372" s="19" t="str">
        <x:v>主动权益基金操作分化 这厢加仓猛干那厢落袋为安</x:v>
      </x:c>
      <x:c r="F372" s="19"/>
      <x:c r="G372" s="19"/>
      <x:c r="H372" s="19"/>
      <x:c r="I372" s="19" t="str">
        <x:v>2025-11-06</x:v>
      </x:c>
      <x:c r="J372" s="19" t="str">
        <x:v>https://www.p5w.net/roll/fund/202511/t20251106_6421699.htm</x:v>
      </x:c>
      <x:c r="K372" s="19" t="str">
        <x:v>https://www.p5w.net/roll/fund/202511/t20251106_6421699.htm</x:v>
      </x:c>
      <x:c r="L372" s="19"/>
      <x:c r="M372" s="19"/>
      <x:c r="N372" s="19"/>
      <x:c r="O372" s="19" t="str">
        <x:v>candidate-only</x:v>
      </x:c>
      <x:c r="P372" s="33" t="b">
        <x:v>0</x:v>
      </x:c>
      <x:c r="Q372" s="19" t="n">
        <x:v>1</x:v>
      </x:c>
      <x:c r="R372" s="19" t="str">
        <x:v>conditional-local-file-unavailable</x:v>
      </x:c>
    </x:row>
    <x:row r="373" ht="15" hidden="0" customHeight="1">
      <x:c r="A373" s="19" t="str">
        <x:v>R01–R04审计</x:v>
      </x:c>
      <x:c r="B373" s="19" t="str">
        <x:v>media-candidate-cambricon-ffde6f595994</x:v>
      </x:c>
      <x:c r="C373" s="19" t="str">
        <x:v>寒武纪</x:v>
      </x:c>
      <x:c r="D373" s="19" t="str">
        <x:v>权威媒体候选</x:v>
      </x:c>
      <x:c r="E373" s="19" t="str">
        <x:v>“双11”AI眼镜“神仙打架”，谁将戴上“下一个手机”的桂冠？</x:v>
      </x:c>
      <x:c r="F373" s="19"/>
      <x:c r="G373" s="19"/>
      <x:c r="H373" s="19"/>
      <x:c r="I373" s="19" t="str">
        <x:v>2025-11-05</x:v>
      </x:c>
      <x:c r="J373" s="19" t="str">
        <x:v>https://www.p5w.net/roll/zqzx/202511/t20251105_6421544.htm</x:v>
      </x:c>
      <x:c r="K373" s="19" t="str">
        <x:v>https://www.p5w.net/roll/zqzx/202511/t20251105_6421544.htm</x:v>
      </x:c>
      <x:c r="L373" s="19"/>
      <x:c r="M373" s="19"/>
      <x:c r="N373" s="19"/>
      <x:c r="O373" s="19" t="str">
        <x:v>candidate-only</x:v>
      </x:c>
      <x:c r="P373" s="33" t="b">
        <x:v>0</x:v>
      </x:c>
      <x:c r="Q373" s="19" t="n">
        <x:v>1</x:v>
      </x:c>
      <x:c r="R373" s="19" t="str">
        <x:v>conditional-local-file-unavailable</x:v>
      </x:c>
    </x:row>
    <x:row r="374" ht="15" hidden="0" customHeight="1">
      <x:c r="A374" s="19" t="str">
        <x:v>R01–R04审计</x:v>
      </x:c>
      <x:c r="B374" s="19" t="str">
        <x:v>media-candidate-cambricon-82cb81a0ccc6</x:v>
      </x:c>
      <x:c r="C374" s="19" t="str">
        <x:v>寒武纪</x:v>
      </x:c>
      <x:c r="D374" s="19" t="str">
        <x:v>权威媒体候选</x:v>
      </x:c>
      <x:c r="E374" s="19" t="str">
        <x:v>三季报AI芯片和汽车半导体领域较为景气，半导体材料ETF（562590）涨1.33%</x:v>
      </x:c>
      <x:c r="F374" s="19"/>
      <x:c r="G374" s="19"/>
      <x:c r="H374" s="19"/>
      <x:c r="I374" s="19" t="str">
        <x:v>2025-11-04</x:v>
      </x:c>
      <x:c r="J374" s="19" t="str">
        <x:v>https://www.p5w.net/roll/zqzx/202511/t20251104_6421282.htm</x:v>
      </x:c>
      <x:c r="K374" s="19" t="str">
        <x:v>https://www.p5w.net/roll/zqzx/202511/t20251104_6421282.htm</x:v>
      </x:c>
      <x:c r="L374" s="19"/>
      <x:c r="M374" s="19"/>
      <x:c r="N374" s="19"/>
      <x:c r="O374" s="19" t="str">
        <x:v>candidate-only</x:v>
      </x:c>
      <x:c r="P374" s="33" t="b">
        <x:v>0</x:v>
      </x:c>
      <x:c r="Q374" s="19" t="n">
        <x:v>1</x:v>
      </x:c>
      <x:c r="R374" s="19" t="str">
        <x:v>conditional-local-file-unavailable</x:v>
      </x:c>
    </x:row>
    <x:row r="375" ht="15" hidden="0" customHeight="1">
      <x:c r="A375" s="19" t="str">
        <x:v>R01–R04审计</x:v>
      </x:c>
      <x:c r="B375" s="19" t="str">
        <x:v>media-candidate-cambricon-7be555869a6a</x:v>
      </x:c>
      <x:c r="C375" s="19" t="str">
        <x:v>寒武纪</x:v>
      </x:c>
      <x:c r="D375" s="19" t="str">
        <x:v>权威媒体候选</x:v>
      </x:c>
      <x:c r="E375" s="19" t="str">
        <x:v>易方达基金布局存储芯片板块 把握AI驱动与国产替代双主线</x:v>
      </x:c>
      <x:c r="F375" s="19"/>
      <x:c r="G375" s="19"/>
      <x:c r="H375" s="19"/>
      <x:c r="I375" s="19" t="str">
        <x:v>2025-11-04</x:v>
      </x:c>
      <x:c r="J375" s="19" t="str">
        <x:v>https://www.p5w.net/roll/pcj/202511/t20251104_6421257.htm</x:v>
      </x:c>
      <x:c r="K375" s="19" t="str">
        <x:v>https://www.p5w.net/roll/pcj/202511/t20251104_6421257.htm</x:v>
      </x:c>
      <x:c r="L375" s="19"/>
      <x:c r="M375" s="19"/>
      <x:c r="N375" s="19"/>
      <x:c r="O375" s="19" t="str">
        <x:v>candidate-only</x:v>
      </x:c>
      <x:c r="P375" s="33" t="b">
        <x:v>0</x:v>
      </x:c>
      <x:c r="Q375" s="19" t="n">
        <x:v>1</x:v>
      </x:c>
      <x:c r="R375" s="19" t="str">
        <x:v>conditional-local-file-unavailable</x:v>
      </x:c>
    </x:row>
    <x:row r="376" ht="15" hidden="0" customHeight="1">
      <x:c r="A376" s="19" t="str">
        <x:v>R01–R04审计</x:v>
      </x:c>
      <x:c r="B376" s="19" t="str">
        <x:v>media-candidate-cambricon-4fd87e7c4d69</x:v>
      </x:c>
      <x:c r="C376" s="19" t="str">
        <x:v>寒武纪</x:v>
      </x:c>
      <x:c r="D376" s="19" t="str">
        <x:v>权威媒体候选</x:v>
      </x:c>
      <x:c r="E376" s="19" t="str">
        <x:v>“富皇”最强一季！工业富联三季度净赚103亿</x:v>
      </x:c>
      <x:c r="F376" s="19"/>
      <x:c r="G376" s="19"/>
      <x:c r="H376" s="19"/>
      <x:c r="I376" s="19" t="str">
        <x:v>2025-10-31</x:v>
      </x:c>
      <x:c r="J376" s="19" t="str">
        <x:v>https://www.p5w.net/roll/finance/202510/t20251031_6420620.htm</x:v>
      </x:c>
      <x:c r="K376" s="19" t="str">
        <x:v>https://www.p5w.net/roll/finance/202510/t20251031_6420620.htm</x:v>
      </x:c>
      <x:c r="L376" s="19"/>
      <x:c r="M376" s="19"/>
      <x:c r="N376" s="19"/>
      <x:c r="O376" s="19" t="str">
        <x:v>candidate-only</x:v>
      </x:c>
      <x:c r="P376" s="33" t="b">
        <x:v>0</x:v>
      </x:c>
      <x:c r="Q376" s="19" t="n">
        <x:v>1</x:v>
      </x:c>
      <x:c r="R376" s="19" t="str">
        <x:v>conditional-local-file-unavailable</x:v>
      </x:c>
    </x:row>
    <x:row r="377" ht="15" hidden="0" customHeight="1">
      <x:c r="A377" s="19" t="str">
        <x:v>R01–R04审计</x:v>
      </x:c>
      <x:c r="B377" s="19" t="str">
        <x:v>media-candidate-cambricon-25e40550028a</x:v>
      </x:c>
      <x:c r="C377" s="19" t="str">
        <x:v>寒武纪</x:v>
      </x:c>
      <x:c r="D377" s="19" t="str">
        <x:v>权威媒体候选</x:v>
      </x:c>
      <x:c r="E377" s="19" t="str">
        <x:v>公募基金最新持仓曝光！这些个股备受青睐</x:v>
      </x:c>
      <x:c r="F377" s="19"/>
      <x:c r="G377" s="19"/>
      <x:c r="H377" s="19"/>
      <x:c r="I377" s="19" t="str">
        <x:v>2025-10-30</x:v>
      </x:c>
      <x:c r="J377" s="19" t="str">
        <x:v>https://www.p5w.net/roll/zqzx/202510/t20251030_6419109.htm</x:v>
      </x:c>
      <x:c r="K377" s="19" t="str">
        <x:v>https://www.p5w.net/roll/zqzx/202510/t20251030_6419109.htm</x:v>
      </x:c>
      <x:c r="L377" s="19"/>
      <x:c r="M377" s="19"/>
      <x:c r="N377" s="19"/>
      <x:c r="O377" s="19" t="str">
        <x:v>candidate-only</x:v>
      </x:c>
      <x:c r="P377" s="33" t="b">
        <x:v>0</x:v>
      </x:c>
      <x:c r="Q377" s="19" t="n">
        <x:v>1</x:v>
      </x:c>
      <x:c r="R377" s="19" t="str">
        <x:v>conditional-local-file-unavailable</x:v>
      </x:c>
    </x:row>
    <x:row r="378" ht="15" hidden="0" customHeight="1">
      <x:c r="A378" s="19" t="str">
        <x:v>R01–R04审计</x:v>
      </x:c>
      <x:c r="B378" s="19" t="str">
        <x:v>media-candidate-cambricon-a7c52b56ce51</x:v>
      </x:c>
      <x:c r="C378" s="19" t="str">
        <x:v>寒武纪</x:v>
      </x:c>
      <x:c r="D378" s="19" t="str">
        <x:v>权威媒体候选</x:v>
      </x:c>
      <x:c r="E378" s="19" t="str">
        <x:v>易方达基金视角：存储芯片板块震荡走高，高景气度延续</x:v>
      </x:c>
      <x:c r="F378" s="19"/>
      <x:c r="G378" s="19"/>
      <x:c r="H378" s="19"/>
      <x:c r="I378" s="19" t="str">
        <x:v>2025-10-29</x:v>
      </x:c>
      <x:c r="J378" s="19" t="str">
        <x:v>https://www.p5w.net/roll/pcj/202510/t20251029_6417710.htm</x:v>
      </x:c>
      <x:c r="K378" s="19" t="str">
        <x:v>https://www.p5w.net/roll/pcj/202510/t20251029_6417710.htm</x:v>
      </x:c>
      <x:c r="L378" s="19"/>
      <x:c r="M378" s="19"/>
      <x:c r="N378" s="19"/>
      <x:c r="O378" s="19" t="str">
        <x:v>candidate-only</x:v>
      </x:c>
      <x:c r="P378" s="33" t="b">
        <x:v>0</x:v>
      </x:c>
      <x:c r="Q378" s="19" t="n">
        <x:v>1</x:v>
      </x:c>
      <x:c r="R378" s="19" t="str">
        <x:v>conditional-local-file-unavailable</x:v>
      </x:c>
    </x:row>
    <x:row r="379" ht="15" hidden="0" customHeight="1">
      <x:c r="A379" s="19" t="str">
        <x:v>R01–R04审计</x:v>
      </x:c>
      <x:c r="B379" s="19" t="str">
        <x:v>media-candidate-cambricon-967c1bbfca3c</x:v>
      </x:c>
      <x:c r="C379" s="19" t="str">
        <x:v>寒武纪</x:v>
      </x:c>
      <x:c r="D379" s="19" t="str">
        <x:v>权威媒体候选</x:v>
      </x:c>
      <x:c r="E379" s="19" t="str">
        <x:v>易方达视角：芯片板块强势领涨，产业红利正当时</x:v>
      </x:c>
      <x:c r="F379" s="19"/>
      <x:c r="G379" s="19"/>
      <x:c r="H379" s="19"/>
      <x:c r="I379" s="19" t="str">
        <x:v>2025-10-27</x:v>
      </x:c>
      <x:c r="J379" s="19" t="str">
        <x:v>https://www.p5w.net/roll/pcj/202510/t20251027_6415446.htm</x:v>
      </x:c>
      <x:c r="K379" s="19" t="str">
        <x:v>https://www.p5w.net/roll/pcj/202510/t20251027_6415446.htm</x:v>
      </x:c>
      <x:c r="L379" s="19"/>
      <x:c r="M379" s="19"/>
      <x:c r="N379" s="19"/>
      <x:c r="O379" s="19" t="str">
        <x:v>candidate-only</x:v>
      </x:c>
      <x:c r="P379" s="33" t="b">
        <x:v>0</x:v>
      </x:c>
      <x:c r="Q379" s="19" t="n">
        <x:v>1</x:v>
      </x:c>
      <x:c r="R379" s="19" t="str">
        <x:v>conditional-local-file-unavailable</x:v>
      </x:c>
    </x:row>
    <x:row r="380" ht="15" hidden="0" customHeight="1">
      <x:c r="A380" s="19" t="str">
        <x:v>R01–R04审计</x:v>
      </x:c>
      <x:c r="B380" s="19" t="str">
        <x:v>media-candidate-cambricon-9e169eb34416</x:v>
      </x:c>
      <x:c r="C380" s="19" t="str">
        <x:v>寒武纪</x:v>
      </x:c>
      <x:c r="D380" s="19" t="str">
        <x:v>权威媒体候选</x:v>
      </x:c>
      <x:c r="E380" s="19" t="str">
        <x:v>基金忠言｜景顺长城猛将毕出，三条主线牛蹄疾进</x:v>
      </x:c>
      <x:c r="F380" s="19"/>
      <x:c r="G380" s="19"/>
      <x:c r="H380" s="19"/>
      <x:c r="I380" s="19" t="str">
        <x:v>2025-10-27</x:v>
      </x:c>
      <x:c r="J380" s="19" t="str">
        <x:v>https://www.p5w.net/roll/lanjinger/202510/t20251027_6415376.htm</x:v>
      </x:c>
      <x:c r="K380" s="19" t="str">
        <x:v>https://www.p5w.net/roll/lanjinger/202510/t20251027_6415376.htm</x:v>
      </x:c>
      <x:c r="L380" s="19"/>
      <x:c r="M380" s="19"/>
      <x:c r="N380" s="19"/>
      <x:c r="O380" s="19" t="str">
        <x:v>candidate-only</x:v>
      </x:c>
      <x:c r="P380" s="33" t="b">
        <x:v>0</x:v>
      </x:c>
      <x:c r="Q380" s="19" t="n">
        <x:v>1</x:v>
      </x:c>
      <x:c r="R380" s="19" t="str">
        <x:v>conditional-local-file-unavailable</x:v>
      </x:c>
    </x:row>
    <x:row r="381" ht="15" hidden="0" customHeight="1">
      <x:c r="A381" s="19" t="str">
        <x:v>R01–R04审计</x:v>
      </x:c>
      <x:c r="B381" s="19" t="str">
        <x:v>media-candidate-cambricon-2d7ec1fbbb08</x:v>
      </x:c>
      <x:c r="C381" s="19" t="str">
        <x:v>寒武纪</x:v>
      </x:c>
      <x:c r="D381" s="19" t="str">
        <x:v>权威媒体候选</x:v>
      </x:c>
      <x:c r="E381" s="19" t="str">
        <x:v>沪指再创10年新高 科技股王者归来</x:v>
      </x:c>
      <x:c r="F381" s="19"/>
      <x:c r="G381" s="19"/>
      <x:c r="H381" s="19"/>
      <x:c r="I381" s="19" t="str">
        <x:v>2025-10-25</x:v>
      </x:c>
      <x:c r="J381" s="19" t="str">
        <x:v>https://www.p5w.net/roll/stock/202510/t20251025_6415269.htm</x:v>
      </x:c>
      <x:c r="K381" s="19" t="str">
        <x:v>https://www.p5w.net/roll/stock/202510/t20251025_6415269.htm</x:v>
      </x:c>
      <x:c r="L381" s="19"/>
      <x:c r="M381" s="19"/>
      <x:c r="N381" s="19"/>
      <x:c r="O381" s="19" t="str">
        <x:v>candidate-only</x:v>
      </x:c>
      <x:c r="P381" s="33" t="b">
        <x:v>0</x:v>
      </x:c>
      <x:c r="Q381" s="19" t="n">
        <x:v>1</x:v>
      </x:c>
      <x:c r="R381" s="19" t="str">
        <x:v>conditional-local-file-unavailable</x:v>
      </x:c>
    </x:row>
    <x:row r="382" ht="15" hidden="0" customHeight="1">
      <x:c r="A382" s="19" t="str">
        <x:v>R01–R04审计</x:v>
      </x:c>
      <x:c r="B382" s="19" t="str">
        <x:v>media-candidate-cambricon-60c608ea35d0</x:v>
      </x:c>
      <x:c r="C382" s="19" t="str">
        <x:v>寒武纪</x:v>
      </x:c>
      <x:c r="D382" s="19" t="str">
        <x:v>权威媒体候选</x:v>
      </x:c>
      <x:c r="E382" s="19" t="str">
        <x:v>半导体板块仍处于需求扩张与国产化共振阶段，数字经济ETF（560800）涨2.15%</x:v>
      </x:c>
      <x:c r="F382" s="19"/>
      <x:c r="G382" s="19"/>
      <x:c r="H382" s="19"/>
      <x:c r="I382" s="19" t="str">
        <x:v>2025-10-24</x:v>
      </x:c>
      <x:c r="J382" s="19" t="str">
        <x:v>https://www.p5w.net/roll/zqzx/202510/t20251024_6415074.htm</x:v>
      </x:c>
      <x:c r="K382" s="19" t="str">
        <x:v>https://www.p5w.net/roll/zqzx/202510/t20251024_6415074.htm</x:v>
      </x:c>
      <x:c r="L382" s="19"/>
      <x:c r="M382" s="19"/>
      <x:c r="N382" s="19"/>
      <x:c r="O382" s="19" t="str">
        <x:v>candidate-only</x:v>
      </x:c>
      <x:c r="P382" s="33" t="b">
        <x:v>0</x:v>
      </x:c>
      <x:c r="Q382" s="19" t="n">
        <x:v>1</x:v>
      </x:c>
      <x:c r="R382" s="19" t="str">
        <x:v>conditional-local-file-unavailable</x:v>
      </x:c>
    </x:row>
    <x:row r="383" ht="15" hidden="0" customHeight="1">
      <x:c r="A383" s="19" t="str">
        <x:v>R01–R04审计</x:v>
      </x:c>
      <x:c r="B383" s="19" t="str">
        <x:v>media-candidate-cambricon-c640cbc04769</x:v>
      </x:c>
      <x:c r="C383" s="19" t="str">
        <x:v>寒武纪</x:v>
      </x:c>
      <x:c r="D383" s="19" t="str">
        <x:v>权威媒体候选</x:v>
      </x:c>
      <x:c r="E383" s="19" t="str">
        <x:v>易方达视角：芯片板块强势领涨，产业红利正当时</x:v>
      </x:c>
      <x:c r="F383" s="19"/>
      <x:c r="G383" s="19"/>
      <x:c r="H383" s="19"/>
      <x:c r="I383" s="19" t="str">
        <x:v>2025-10-24</x:v>
      </x:c>
      <x:c r="J383" s="19" t="str">
        <x:v>https://www.p5w.net/roll/pcj/202510/t20251024_6415056.htm</x:v>
      </x:c>
      <x:c r="K383" s="19" t="str">
        <x:v>https://www.p5w.net/roll/pcj/202510/t20251024_6415056.htm</x:v>
      </x:c>
      <x:c r="L383" s="19"/>
      <x:c r="M383" s="19"/>
      <x:c r="N383" s="19"/>
      <x:c r="O383" s="19" t="str">
        <x:v>candidate-only</x:v>
      </x:c>
      <x:c r="P383" s="33" t="b">
        <x:v>0</x:v>
      </x:c>
      <x:c r="Q383" s="19" t="n">
        <x:v>1</x:v>
      </x:c>
      <x:c r="R383" s="19" t="str">
        <x:v>conditional-local-file-unavailable</x:v>
      </x:c>
    </x:row>
    <x:row r="384" ht="15" hidden="0" customHeight="1">
      <x:c r="A384" s="19" t="str">
        <x:v>R01–R04审计</x:v>
      </x:c>
      <x:c r="B384" s="19" t="str">
        <x:v>media-candidate-cambricon-d1a0ef51ffd9</x:v>
      </x:c>
      <x:c r="C384" s="19" t="str">
        <x:v>寒武纪</x:v>
      </x:c>
      <x:c r="D384" s="19" t="str">
        <x:v>权威媒体候选</x:v>
      </x:c>
      <x:c r="E384" s="19" t="str">
        <x:v>从“易中天”“纪连海” 看A股市场的谐音梗</x:v>
      </x:c>
      <x:c r="F384" s="19"/>
      <x:c r="G384" s="19"/>
      <x:c r="H384" s="19"/>
      <x:c r="I384" s="19" t="str">
        <x:v>2025-10-24</x:v>
      </x:c>
      <x:c r="J384" s="19" t="str">
        <x:v>https://www.p5w.net/roll/complex/202510/t20251024_6415022.htm</x:v>
      </x:c>
      <x:c r="K384" s="19" t="str">
        <x:v>https://www.p5w.net/roll/complex/202510/t20251024_6415022.htm</x:v>
      </x:c>
      <x:c r="L384" s="19"/>
      <x:c r="M384" s="19"/>
      <x:c r="N384" s="19"/>
      <x:c r="O384" s="19" t="str">
        <x:v>candidate-only</x:v>
      </x:c>
      <x:c r="P384" s="33" t="b">
        <x:v>0</x:v>
      </x:c>
      <x:c r="Q384" s="19" t="n">
        <x:v>1</x:v>
      </x:c>
      <x:c r="R384" s="19" t="str">
        <x:v>conditional-local-file-unavailable</x:v>
      </x:c>
    </x:row>
    <x:row r="385" ht="15" hidden="0" customHeight="1">
      <x:c r="A385" s="19" t="str">
        <x:v>R01–R04审计</x:v>
      </x:c>
      <x:c r="B385" s="19" t="str">
        <x:v>media-candidate-cambricon-eab4bcb12be1</x:v>
      </x:c>
      <x:c r="C385" s="19" t="str">
        <x:v>寒武纪</x:v>
      </x:c>
      <x:c r="D385" s="19" t="str">
        <x:v>权威媒体候选</x:v>
      </x:c>
      <x:c r="E385" s="19" t="str">
        <x:v>存量公司长势好新上公司新意足 制度创新精准滴灌科创成长层</x:v>
      </x:c>
      <x:c r="F385" s="19"/>
      <x:c r="G385" s="19"/>
      <x:c r="H385" s="19"/>
      <x:c r="I385" s="19" t="str">
        <x:v>2025-10-24</x:v>
      </x:c>
      <x:c r="J385" s="19" t="str">
        <x:v>https://www.p5w.net/roll/stock/202510/t20251024_6415000.htm</x:v>
      </x:c>
      <x:c r="K385" s="19" t="str">
        <x:v>https://www.p5w.net/roll/stock/202510/t20251024_6415000.htm</x:v>
      </x:c>
      <x:c r="L385" s="19"/>
      <x:c r="M385" s="19"/>
      <x:c r="N385" s="19"/>
      <x:c r="O385" s="19" t="str">
        <x:v>candidate-only</x:v>
      </x:c>
      <x:c r="P385" s="33" t="b">
        <x:v>0</x:v>
      </x:c>
      <x:c r="Q385" s="19" t="n">
        <x:v>1</x:v>
      </x:c>
      <x:c r="R385" s="19" t="str">
        <x:v>conditional-local-file-unavailable</x:v>
      </x:c>
    </x:row>
    <x:row r="386" ht="15" hidden="0" customHeight="1">
      <x:c r="A386" s="19" t="str">
        <x:v>R01–R04审计</x:v>
      </x:c>
      <x:c r="B386" s="19" t="str">
        <x:v>media-candidate-cambricon-11ba26782f49</x:v>
      </x:c>
      <x:c r="C386" s="19" t="str">
        <x:v>寒武纪</x:v>
      </x:c>
      <x:c r="D386" s="19" t="str">
        <x:v>权威媒体候选</x:v>
      </x:c>
      <x:c r="E386" s="19" t="str">
        <x:v>指数点点通</x:v>
      </x:c>
      <x:c r="F386" s="19"/>
      <x:c r="G386" s="19"/>
      <x:c r="H386" s="19"/>
      <x:c r="I386" s="19" t="str">
        <x:v>2025-10-23</x:v>
      </x:c>
      <x:c r="J386" s="19" t="str">
        <x:v>https://www.p5w.net/roll/complex/202510/t20251023_6414917.htm</x:v>
      </x:c>
      <x:c r="K386" s="19" t="str">
        <x:v>https://www.p5w.net/roll/complex/202510/t20251023_6414917.htm</x:v>
      </x:c>
      <x:c r="L386" s="19"/>
      <x:c r="M386" s="19"/>
      <x:c r="N386" s="19"/>
      <x:c r="O386" s="19" t="str">
        <x:v>candidate-only</x:v>
      </x:c>
      <x:c r="P386" s="33" t="b">
        <x:v>0</x:v>
      </x:c>
      <x:c r="Q386" s="19" t="n">
        <x:v>1</x:v>
      </x:c>
      <x:c r="R386" s="19" t="str">
        <x:v>conditional-local-file-unavailable</x:v>
      </x:c>
    </x:row>
    <x:row r="387" ht="15" hidden="0" customHeight="1">
      <x:c r="A387" s="19" t="str">
        <x:v>R01–R04审计</x:v>
      </x:c>
      <x:c r="B387" s="19" t="str">
        <x:v>media-candidate-cambricon-5cfbf1c0ffe0</x:v>
      </x:c>
      <x:c r="C387" s="19" t="str">
        <x:v>寒武纪</x:v>
      </x:c>
      <x:c r="D387" s="19" t="str">
        <x:v>权威媒体候选</x:v>
      </x:c>
      <x:c r="E387" s="19" t="str">
        <x:v>布局AI领域，科创AI和科创创业AI指数有何不同？</x:v>
      </x:c>
      <x:c r="F387" s="19"/>
      <x:c r="G387" s="19"/>
      <x:c r="H387" s="19"/>
      <x:c r="I387" s="19" t="str">
        <x:v>2025-10-23</x:v>
      </x:c>
      <x:c r="J387" s="19" t="str">
        <x:v>https://www.p5w.net/roll/complex/202510/t20251023_6414913.htm</x:v>
      </x:c>
      <x:c r="K387" s="19" t="str">
        <x:v>https://www.p5w.net/roll/complex/202510/t20251023_6414913.htm</x:v>
      </x:c>
      <x:c r="L387" s="19"/>
      <x:c r="M387" s="19"/>
      <x:c r="N387" s="19"/>
      <x:c r="O387" s="19" t="str">
        <x:v>candidate-only</x:v>
      </x:c>
      <x:c r="P387" s="33" t="b">
        <x:v>0</x:v>
      </x:c>
      <x:c r="Q387" s="19" t="n">
        <x:v>1</x:v>
      </x:c>
      <x:c r="R387" s="19" t="str">
        <x:v>conditional-local-file-unavailable</x:v>
      </x:c>
    </x:row>
    <x:row r="388" ht="15" hidden="0" customHeight="1">
      <x:c r="A388" s="19" t="str">
        <x:v>R01–R04审计</x:v>
      </x:c>
      <x:c r="B388" s="19" t="str">
        <x:v>media-candidate-cambricon-f3efd3f0ee9c</x:v>
      </x:c>
      <x:c r="C388" s="19" t="str">
        <x:v>寒武纪</x:v>
      </x:c>
      <x:c r="D388" s="19" t="str">
        <x:v>权威媒体候选</x:v>
      </x:c>
      <x:c r="E388" s="19" t="str">
        <x:v>Sora 2 爆火社交平台，AI影像纪元新开端</x:v>
      </x:c>
      <x:c r="F388" s="19"/>
      <x:c r="G388" s="19"/>
      <x:c r="H388" s="19"/>
      <x:c r="I388" s="19" t="str">
        <x:v>2025-10-23</x:v>
      </x:c>
      <x:c r="J388" s="19" t="str">
        <x:v>https://www.p5w.net/roll/zqzx/202510/t20251023_6414821.htm</x:v>
      </x:c>
      <x:c r="K388" s="19" t="str">
        <x:v>https://www.p5w.net/roll/zqzx/202510/t20251023_6414821.htm</x:v>
      </x:c>
      <x:c r="L388" s="19"/>
      <x:c r="M388" s="19"/>
      <x:c r="N388" s="19"/>
      <x:c r="O388" s="19" t="str">
        <x:v>candidate-only</x:v>
      </x:c>
      <x:c r="P388" s="33" t="b">
        <x:v>0</x:v>
      </x:c>
      <x:c r="Q388" s="19" t="n">
        <x:v>1</x:v>
      </x:c>
      <x:c r="R388" s="19" t="str">
        <x:v>conditional-local-file-unavailable</x:v>
      </x:c>
    </x:row>
    <x:row r="389" ht="15" hidden="0" customHeight="1">
      <x:c r="A389" s="19" t="str">
        <x:v>R01–R04审计</x:v>
      </x:c>
      <x:c r="B389" s="19" t="str">
        <x:v>media-candidate-cambricon-7daca511fda2</x:v>
      </x:c>
      <x:c r="C389" s="19" t="str">
        <x:v>寒武纪</x:v>
      </x:c>
      <x:c r="D389" s="19" t="str">
        <x:v>权威媒体候选</x:v>
      </x:c>
      <x:c r="E389" s="19" t="str">
        <x:v>我国加快算力标准体系建设 构建全国算力“一张网”</x:v>
      </x:c>
      <x:c r="F389" s="19"/>
      <x:c r="G389" s="19"/>
      <x:c r="H389" s="19"/>
      <x:c r="I389" s="19" t="str">
        <x:v>2025-10-23</x:v>
      </x:c>
      <x:c r="J389" s="19" t="str">
        <x:v>https://www.p5w.net/roll/stock/202510/t20251023_6414793.htm</x:v>
      </x:c>
      <x:c r="K389" s="19" t="str">
        <x:v>https://www.p5w.net/roll/stock/202510/t20251023_6414793.htm</x:v>
      </x:c>
      <x:c r="L389" s="19"/>
      <x:c r="M389" s="19"/>
      <x:c r="N389" s="19"/>
      <x:c r="O389" s="19" t="str">
        <x:v>candidate-only</x:v>
      </x:c>
      <x:c r="P389" s="33" t="b">
        <x:v>0</x:v>
      </x:c>
      <x:c r="Q389" s="19" t="n">
        <x:v>1</x:v>
      </x:c>
      <x:c r="R389" s="19" t="str">
        <x:v>conditional-local-file-unavailable</x:v>
      </x:c>
    </x:row>
    <x:row r="390" ht="15" hidden="0" customHeight="1">
      <x:c r="A390" s="19" t="str">
        <x:v>R01–R04审计</x:v>
      </x:c>
      <x:c r="B390" s="19" t="str">
        <x:v>media-candidate-cambricon-ce65b2b578dd</x:v>
      </x:c>
      <x:c r="C390" s="19" t="str">
        <x:v>寒武纪</x:v>
      </x:c>
      <x:c r="D390" s="19" t="str">
        <x:v>权威媒体候选</x:v>
      </x:c>
      <x:c r="E390" s="19" t="str">
        <x:v>基金10月参与定增热情升温 大手笔密集布局科技龙头</x:v>
      </x:c>
      <x:c r="F390" s="19"/>
      <x:c r="G390" s="19"/>
      <x:c r="H390" s="19"/>
      <x:c r="I390" s="19" t="str">
        <x:v>2025-10-23</x:v>
      </x:c>
      <x:c r="J390" s="19" t="str">
        <x:v>https://www.p5w.net/roll/fund/202510/t20251023_6414785.htm</x:v>
      </x:c>
      <x:c r="K390" s="19" t="str">
        <x:v>https://www.p5w.net/roll/fund/202510/t20251023_6414785.htm</x:v>
      </x:c>
      <x:c r="L390" s="19"/>
      <x:c r="M390" s="19"/>
      <x:c r="N390" s="19"/>
      <x:c r="O390" s="19" t="str">
        <x:v>candidate-only</x:v>
      </x:c>
      <x:c r="P390" s="33" t="b">
        <x:v>0</x:v>
      </x:c>
      <x:c r="Q390" s="19" t="n">
        <x:v>1</x:v>
      </x:c>
      <x:c r="R390" s="19" t="str">
        <x:v>conditional-local-file-unavailable</x:v>
      </x:c>
    </x:row>
    <x:row r="391" ht="15" hidden="0" customHeight="1">
      <x:c r="A391" s="19" t="str">
        <x:v>R01–R04审计</x:v>
      </x:c>
      <x:c r="B391" s="19" t="str">
        <x:v>media-candidate-cambricon-8e05c8a50d80</x:v>
      </x:c>
      <x:c r="C391" s="19" t="str">
        <x:v>寒武纪</x:v>
      </x:c>
      <x:c r="D391" s="19" t="str">
        <x:v>权威媒体候选</x:v>
      </x:c>
      <x:c r="E391" s="19" t="str">
        <x:v>券商今日金股：6份研报力推一股（名单）</x:v>
      </x:c>
      <x:c r="F391" s="19"/>
      <x:c r="G391" s="19"/>
      <x:c r="H391" s="19"/>
      <x:c r="I391" s="19" t="str">
        <x:v>2025-10-21</x:v>
      </x:c>
      <x:c r="J391" s="19" t="str">
        <x:v>https://www.p5w.net/roll/zqzx/202510/t20251021_6414497.htm</x:v>
      </x:c>
      <x:c r="K391" s="19" t="str">
        <x:v>https://www.p5w.net/roll/zqzx/202510/t20251021_6414497.htm</x:v>
      </x:c>
      <x:c r="L391" s="19"/>
      <x:c r="M391" s="19"/>
      <x:c r="N391" s="19"/>
      <x:c r="O391" s="19" t="str">
        <x:v>candidate-only</x:v>
      </x:c>
      <x:c r="P391" s="33" t="b">
        <x:v>0</x:v>
      </x:c>
      <x:c r="Q391" s="19" t="n">
        <x:v>1</x:v>
      </x:c>
      <x:c r="R391" s="19" t="str">
        <x:v>conditional-local-file-unavailable</x:v>
      </x:c>
    </x:row>
    <x:row r="392" ht="15" hidden="0" customHeight="1">
      <x:c r="A392" s="19" t="str">
        <x:v>R01–R04审计</x:v>
      </x:c>
      <x:c r="B392" s="19" t="str">
        <x:v>media-candidate-cambricon-fdc0fad8196b</x:v>
      </x:c>
      <x:c r="C392" s="19" t="str">
        <x:v>寒武纪</x:v>
      </x:c>
      <x:c r="D392" s="19" t="str">
        <x:v>权威媒体候选</x:v>
      </x:c>
      <x:c r="E392" s="19" t="str">
        <x:v>基金三季报拉开大幕！基金经理最新持仓浮出水面</x:v>
      </x:c>
      <x:c r="F392" s="19"/>
      <x:c r="G392" s="19"/>
      <x:c r="H392" s="19"/>
      <x:c r="I392" s="19" t="str">
        <x:v>2025-10-21</x:v>
      </x:c>
      <x:c r="J392" s="19" t="str">
        <x:v>https://www.p5w.net/roll/zqzx/202510/t20251021_6414486.htm</x:v>
      </x:c>
      <x:c r="K392" s="19" t="str">
        <x:v>https://www.p5w.net/roll/zqzx/202510/t20251021_6414486.htm</x:v>
      </x:c>
      <x:c r="L392" s="19"/>
      <x:c r="M392" s="19"/>
      <x:c r="N392" s="19"/>
      <x:c r="O392" s="19" t="str">
        <x:v>candidate-only</x:v>
      </x:c>
      <x:c r="P392" s="33" t="b">
        <x:v>0</x:v>
      </x:c>
      <x:c r="Q392" s="19" t="n">
        <x:v>1</x:v>
      </x:c>
      <x:c r="R392" s="19" t="str">
        <x:v>conditional-local-file-unavailable</x:v>
      </x:c>
    </x:row>
    <x:row r="393" ht="15" hidden="0" customHeight="1">
      <x:c r="A393" s="19" t="str">
        <x:v>R01–R04审计</x:v>
      </x:c>
      <x:c r="B393" s="19" t="str">
        <x:v>media-candidate-cambricon-d72cb4009ea6</x:v>
      </x:c>
      <x:c r="C393" s="19" t="str">
        <x:v>寒武纪</x:v>
      </x:c>
      <x:c r="D393" s="19" t="str">
        <x:v>权威媒体候选</x:v>
      </x:c>
      <x:c r="E393" s="19" t="str">
        <x:v>成长板块波动加剧，机构人士看法出现分歧，数字经济ETF（560800）早盘小幅上涨</x:v>
      </x:c>
      <x:c r="F393" s="19"/>
      <x:c r="G393" s="19"/>
      <x:c r="H393" s="19"/>
      <x:c r="I393" s="19" t="str">
        <x:v>2025-10-21</x:v>
      </x:c>
      <x:c r="J393" s="19" t="str">
        <x:v>https://www.p5w.net/roll/zqzx/202510/t20251021_6414416.htm</x:v>
      </x:c>
      <x:c r="K393" s="19" t="str">
        <x:v>https://www.p5w.net/roll/zqzx/202510/t20251021_6414416.htm</x:v>
      </x:c>
      <x:c r="L393" s="19"/>
      <x:c r="M393" s="19"/>
      <x:c r="N393" s="19"/>
      <x:c r="O393" s="19" t="str">
        <x:v>candidate-only</x:v>
      </x:c>
      <x:c r="P393" s="33" t="b">
        <x:v>0</x:v>
      </x:c>
      <x:c r="Q393" s="19" t="n">
        <x:v>1</x:v>
      </x:c>
      <x:c r="R393" s="19" t="str">
        <x:v>conditional-local-file-unavailable</x:v>
      </x:c>
    </x:row>
    <x:row r="394" ht="15" hidden="0" customHeight="1">
      <x:c r="A394" s="19" t="str">
        <x:v>R01–R04审计</x:v>
      </x:c>
      <x:c r="B394" s="19" t="str">
        <x:v>media-candidate-cambricon-9cb4f9449c37</x:v>
      </x:c>
      <x:c r="C394" s="19" t="str">
        <x:v>寒武纪</x:v>
      </x:c>
      <x:c r="D394" s="19" t="str">
        <x:v>权威媒体候选</x:v>
      </x:c>
      <x:c r="E394" s="19" t="str">
        <x:v>易方达芯片ETF引领科技板块反弹，资金持续涌入显配置机遇</x:v>
      </x:c>
      <x:c r="F394" s="19"/>
      <x:c r="G394" s="19"/>
      <x:c r="H394" s="19"/>
      <x:c r="I394" s="19" t="str">
        <x:v>2025-10-21</x:v>
      </x:c>
      <x:c r="J394" s="19" t="str">
        <x:v>https://www.p5w.net/roll/pcj/202510/t20251021_6414406.htm</x:v>
      </x:c>
      <x:c r="K394" s="19" t="str">
        <x:v>https://www.p5w.net/roll/pcj/202510/t20251021_6414406.htm</x:v>
      </x:c>
      <x:c r="L394" s="19"/>
      <x:c r="M394" s="19"/>
      <x:c r="N394" s="19"/>
      <x:c r="O394" s="19" t="str">
        <x:v>candidate-only</x:v>
      </x:c>
      <x:c r="P394" s="33" t="b">
        <x:v>0</x:v>
      </x:c>
      <x:c r="Q394" s="19" t="n">
        <x:v>1</x:v>
      </x:c>
      <x:c r="R394" s="19" t="str">
        <x:v>conditional-local-file-unavailable</x:v>
      </x:c>
    </x:row>
    <x:row r="395" ht="15" hidden="0" customHeight="1">
      <x:c r="A395" s="19" t="str">
        <x:v>R01–R04审计</x:v>
      </x:c>
      <x:c r="B395" s="19" t="str">
        <x:v>media-candidate-cambricon-b34567f0ffcc</x:v>
      </x:c>
      <x:c r="C395" s="19" t="str">
        <x:v>寒武纪</x:v>
      </x:c>
      <x:c r="D395" s="19" t="str">
        <x:v>权威媒体候选</x:v>
      </x:c>
      <x:c r="E395" s="19" t="str">
        <x:v>券商今日金股：8份研报力推一股（名单）</x:v>
      </x:c>
      <x:c r="F395" s="19"/>
      <x:c r="G395" s="19"/>
      <x:c r="H395" s="19"/>
      <x:c r="I395" s="19" t="str">
        <x:v>2025-10-20</x:v>
      </x:c>
      <x:c r="J395" s="19" t="str">
        <x:v>https://www.p5w.net/roll/zqzx/202510/t20251020_6414284.htm</x:v>
      </x:c>
      <x:c r="K395" s="19" t="str">
        <x:v>https://www.p5w.net/roll/zqzx/202510/t20251020_6414284.htm</x:v>
      </x:c>
      <x:c r="L395" s="19"/>
      <x:c r="M395" s="19"/>
      <x:c r="N395" s="19"/>
      <x:c r="O395" s="19" t="str">
        <x:v>candidate-only</x:v>
      </x:c>
      <x:c r="P395" s="33" t="b">
        <x:v>0</x:v>
      </x:c>
      <x:c r="Q395" s="19" t="n">
        <x:v>1</x:v>
      </x:c>
      <x:c r="R395" s="19" t="str">
        <x:v>conditional-local-file-unavailable</x:v>
      </x:c>
    </x:row>
    <x:row r="396" ht="15" hidden="0" customHeight="1">
      <x:c r="A396" s="19" t="str">
        <x:v>R01–R04审计</x:v>
      </x:c>
      <x:c r="B396" s="19" t="str">
        <x:v>media-candidate-cambricon-ebf6601aac98</x:v>
      </x:c>
      <x:c r="C396" s="19" t="str">
        <x:v>寒武纪</x:v>
      </x:c>
      <x:c r="D396" s="19" t="str">
        <x:v>权威媒体候选</x:v>
      </x:c>
      <x:c r="E396" s="19" t="str">
        <x:v>我国我国生成式人工智能普及率持续提升，数字经济ETF（560800）涨2.32%</x:v>
      </x:c>
      <x:c r="F396" s="19"/>
      <x:c r="G396" s="19"/>
      <x:c r="H396" s="19"/>
      <x:c r="I396" s="19" t="str">
        <x:v>2025-10-20</x:v>
      </x:c>
      <x:c r="J396" s="19" t="str">
        <x:v>https://www.p5w.net/roll/zqzx/202510/t20251020_6414211.htm</x:v>
      </x:c>
      <x:c r="K396" s="19" t="str">
        <x:v>https://www.p5w.net/roll/zqzx/202510/t20251020_6414211.htm</x:v>
      </x:c>
      <x:c r="L396" s="19"/>
      <x:c r="M396" s="19"/>
      <x:c r="N396" s="19"/>
      <x:c r="O396" s="19" t="str">
        <x:v>candidate-only</x:v>
      </x:c>
      <x:c r="P396" s="33" t="b">
        <x:v>0</x:v>
      </x:c>
      <x:c r="Q396" s="19" t="n">
        <x:v>1</x:v>
      </x:c>
      <x:c r="R396" s="19" t="str">
        <x:v>conditional-local-file-unavailable</x:v>
      </x:c>
    </x:row>
    <x:row r="397" ht="15" hidden="0" customHeight="1">
      <x:c r="A397" s="19" t="str">
        <x:v>R01–R04审计</x:v>
      </x:c>
      <x:c r="B397" s="19" t="str">
        <x:v>media-candidate-cambricon-50264aad4d36</x:v>
      </x:c>
      <x:c r="C397" s="19" t="str">
        <x:v>寒武纪</x:v>
      </x:c>
      <x:c r="D397" s="19" t="str">
        <x:v>权威媒体候选</x:v>
      </x:c>
      <x:c r="E397" s="19" t="str">
        <x:v>韩国基民投资理财新趋势：偏好高杠杆ETF</x:v>
      </x:c>
      <x:c r="F397" s="19"/>
      <x:c r="G397" s="19"/>
      <x:c r="H397" s="19"/>
      <x:c r="I397" s="19" t="str">
        <x:v>2025-10-20</x:v>
      </x:c>
      <x:c r="J397" s="19" t="str">
        <x:v>https://www.p5w.net/roll/fund/202510/t20251020_6414150.htm</x:v>
      </x:c>
      <x:c r="K397" s="19" t="str">
        <x:v>https://www.p5w.net/roll/fund/202510/t20251020_6414150.htm</x:v>
      </x:c>
      <x:c r="L397" s="19"/>
      <x:c r="M397" s="19"/>
      <x:c r="N397" s="19"/>
      <x:c r="O397" s="19" t="str">
        <x:v>candidate-only</x:v>
      </x:c>
      <x:c r="P397" s="33" t="b">
        <x:v>0</x:v>
      </x:c>
      <x:c r="Q397" s="19" t="n">
        <x:v>1</x:v>
      </x:c>
      <x:c r="R397" s="19" t="str">
        <x:v>conditional-local-file-unavailable</x:v>
      </x:c>
    </x:row>
    <x:row r="398" ht="15" hidden="0" customHeight="1">
      <x:c r="A398" s="19" t="str">
        <x:v>R01–R04审计</x:v>
      </x:c>
      <x:c r="B398" s="19" t="str">
        <x:v>media-candidate-cambricon-457f76cc71fe</x:v>
      </x:c>
      <x:c r="C398" s="19" t="str">
        <x:v>寒武纪</x:v>
      </x:c>
      <x:c r="D398" s="19" t="str">
        <x:v>权威媒体候选</x:v>
      </x:c>
      <x:c r="E398" s="19" t="str">
        <x:v>科创板首批三季报出炉 前沿赛道企业引领增长</x:v>
      </x:c>
      <x:c r="F398" s="19"/>
      <x:c r="G398" s="19"/>
      <x:c r="H398" s="19"/>
      <x:c r="I398" s="19" t="str">
        <x:v>2025-10-19</x:v>
      </x:c>
      <x:c r="J398" s="19" t="str">
        <x:v>https://www.p5w.net/roll/stock/202510/t20251019_6414127.htm</x:v>
      </x:c>
      <x:c r="K398" s="19" t="str">
        <x:v>https://www.p5w.net/roll/stock/202510/t20251019_6414127.htm</x:v>
      </x:c>
      <x:c r="L398" s="19"/>
      <x:c r="M398" s="19"/>
      <x:c r="N398" s="19"/>
      <x:c r="O398" s="19" t="str">
        <x:v>candidate-only</x:v>
      </x:c>
      <x:c r="P398" s="33" t="b">
        <x:v>0</x:v>
      </x:c>
      <x:c r="Q398" s="19" t="n">
        <x:v>1</x:v>
      </x:c>
      <x:c r="R398" s="19" t="str">
        <x:v>conditional-local-file-unavailable</x:v>
      </x:c>
    </x:row>
    <x:row r="399" ht="15" hidden="0" customHeight="1">
      <x:c r="A399" s="19" t="str">
        <x:v>R01–R04审计</x:v>
      </x:c>
      <x:c r="B399" s="19" t="str">
        <x:v>media-candidate-cambricon-2e1e4ad14e06</x:v>
      </x:c>
      <x:c r="C399" s="19" t="str">
        <x:v>寒武纪</x:v>
      </x:c>
      <x:c r="D399" s="19" t="str">
        <x:v>权威媒体候选</x:v>
      </x:c>
      <x:c r="E399" s="19" t="str">
        <x:v>营收大增1332.52%，牛散出手增持！下周6股解禁比例超50%</x:v>
      </x:c>
      <x:c r="F399" s="19"/>
      <x:c r="G399" s="19"/>
      <x:c r="H399" s="19"/>
      <x:c r="I399" s="19" t="str">
        <x:v>2025-10-19</x:v>
      </x:c>
      <x:c r="J399" s="19" t="str">
        <x:v>https://www.p5w.net/roll/stock/202510/t20251019_6414099.htm</x:v>
      </x:c>
      <x:c r="K399" s="19" t="str">
        <x:v>https://www.p5w.net/roll/stock/202510/t20251019_6414099.htm</x:v>
      </x:c>
      <x:c r="L399" s="19"/>
      <x:c r="M399" s="19"/>
      <x:c r="N399" s="19"/>
      <x:c r="O399" s="19" t="str">
        <x:v>candidate-only</x:v>
      </x:c>
      <x:c r="P399" s="33" t="b">
        <x:v>0</x:v>
      </x:c>
      <x:c r="Q399" s="19" t="n">
        <x:v>1</x:v>
      </x:c>
      <x:c r="R399" s="19" t="str">
        <x:v>conditional-local-file-unavailable</x:v>
      </x:c>
    </x:row>
    <x:row r="400" ht="21.600000381469727" hidden="0" customHeight="1">
      <x:c r="A400" s="19" t="str">
        <x:v>R01–R04审计</x:v>
      </x:c>
      <x:c r="B400" s="19" t="str">
        <x:v>media-candidate-cambricon-0167eba88925</x:v>
      </x:c>
      <x:c r="C400" s="19" t="str">
        <x:v>寒武纪</x:v>
      </x:c>
      <x:c r="D400" s="19" t="str">
        <x:v>权威媒体候选</x:v>
      </x:c>
      <x:c r="E400" s="19" t="str">
        <x:v>戴尔 “AI 工厂 2.0” 来袭，联合英伟达、AMD、英特尔打造端到端 AI 新生态！科创人工智能ETF华夏(589010) 承压调整，关注情绪修复节奏！</x:v>
      </x:c>
      <x:c r="F400" s="19"/>
      <x:c r="G400" s="19"/>
      <x:c r="H400" s="19"/>
      <x:c r="I400" s="19" t="str">
        <x:v>2025-10-16</x:v>
      </x:c>
      <x:c r="J400" s="19" t="str">
        <x:v>https://www.p5w.net/roll/zqzx/202510/t20251016_6413605.htm</x:v>
      </x:c>
      <x:c r="K400" s="19" t="str">
        <x:v>https://www.p5w.net/roll/zqzx/202510/t20251016_6413605.htm</x:v>
      </x:c>
      <x:c r="L400" s="19"/>
      <x:c r="M400" s="19"/>
      <x:c r="N400" s="19"/>
      <x:c r="O400" s="19" t="str">
        <x:v>candidate-only</x:v>
      </x:c>
      <x:c r="P400" s="33" t="b">
        <x:v>0</x:v>
      </x:c>
      <x:c r="Q400" s="19" t="n">
        <x:v>1</x:v>
      </x:c>
      <x:c r="R400" s="19" t="str">
        <x:v>conditional-local-file-unavailable</x:v>
      </x:c>
    </x:row>
    <x:row r="401" ht="15" hidden="0" customHeight="1">
      <x:c r="A401" s="19" t="str">
        <x:v>R01–R04审计</x:v>
      </x:c>
      <x:c r="B401" s="19" t="str">
        <x:v>media-candidate-cambricon-f2cfc6f39fc9</x:v>
      </x:c>
      <x:c r="C401" s="19" t="str">
        <x:v>寒武纪</x:v>
      </x:c>
      <x:c r="D401" s="19" t="str">
        <x:v>权威媒体候选</x:v>
      </x:c>
      <x:c r="E401" s="19" t="str">
        <x:v>走进上证180ETF成份股海光信息活动成功举办 聚焦科技创新与投资价值</x:v>
      </x:c>
      <x:c r="F401" s="19"/>
      <x:c r="G401" s="19"/>
      <x:c r="H401" s="19"/>
      <x:c r="I401" s="19" t="str">
        <x:v>2025-10-14</x:v>
      </x:c>
      <x:c r="J401" s="19" t="str">
        <x:v>https://www.p5w.net/roll/fund/202510/t20251014_6413114.htm</x:v>
      </x:c>
      <x:c r="K401" s="19" t="str">
        <x:v>https://www.p5w.net/roll/fund/202510/t20251014_6413114.htm</x:v>
      </x:c>
      <x:c r="L401" s="19"/>
      <x:c r="M401" s="19"/>
      <x:c r="N401" s="19"/>
      <x:c r="O401" s="19" t="str">
        <x:v>candidate-only</x:v>
      </x:c>
      <x:c r="P401" s="33" t="b">
        <x:v>0</x:v>
      </x:c>
      <x:c r="Q401" s="19" t="n">
        <x:v>1</x:v>
      </x:c>
      <x:c r="R401" s="19" t="str">
        <x:v>conditional-local-file-unavailable</x:v>
      </x:c>
    </x:row>
    <x:row r="402" ht="15" hidden="0" customHeight="1">
      <x:c r="A402" s="19" t="str">
        <x:v>R01–R04审计</x:v>
      </x:c>
      <x:c r="B402" s="19" t="str">
        <x:v>media-candidate-cambricon-a8163c024c30</x:v>
      </x:c>
      <x:c r="C402" s="19" t="str">
        <x:v>寒武纪</x:v>
      </x:c>
      <x:c r="D402" s="19" t="str">
        <x:v>权威媒体候选</x:v>
      </x:c>
      <x:c r="E402" s="19" t="str">
        <x:v>持仓秉承“万物皆消费” 多只消费主题基金逆市闪耀</x:v>
      </x:c>
      <x:c r="F402" s="19"/>
      <x:c r="G402" s="19"/>
      <x:c r="H402" s="19"/>
      <x:c r="I402" s="19" t="str">
        <x:v>2025-10-13</x:v>
      </x:c>
      <x:c r="J402" s="19" t="str">
        <x:v>https://www.p5w.net/roll/fund/202510/t20251013_6412861.htm</x:v>
      </x:c>
      <x:c r="K402" s="19" t="str">
        <x:v>https://www.p5w.net/roll/fund/202510/t20251013_6412861.htm</x:v>
      </x:c>
      <x:c r="L402" s="19"/>
      <x:c r="M402" s="19"/>
      <x:c r="N402" s="19"/>
      <x:c r="O402" s="19" t="str">
        <x:v>candidate-only</x:v>
      </x:c>
      <x:c r="P402" s="33" t="b">
        <x:v>0</x:v>
      </x:c>
      <x:c r="Q402" s="19" t="n">
        <x:v>1</x:v>
      </x:c>
      <x:c r="R402" s="19" t="str">
        <x:v>conditional-local-file-unavailable</x:v>
      </x:c>
    </x:row>
    <x:row r="403" ht="15" hidden="0" customHeight="1">
      <x:c r="A403" s="19" t="str">
        <x:v>R01–R04审计</x:v>
      </x:c>
      <x:c r="B403" s="19" t="str">
        <x:v>media-candidate-cambricon-482add76f0ec</x:v>
      </x:c>
      <x:c r="C403" s="19" t="str">
        <x:v>寒武纪</x:v>
      </x:c>
      <x:c r="D403" s="19" t="str">
        <x:v>权威媒体候选</x:v>
      </x:c>
      <x:c r="E403" s="19" t="str">
        <x:v>A股，沸腾了！大涨原因找到</x:v>
      </x:c>
      <x:c r="F403" s="19"/>
      <x:c r="G403" s="19"/>
      <x:c r="H403" s="19"/>
      <x:c r="I403" s="19" t="str">
        <x:v>2025-10-09</x:v>
      </x:c>
      <x:c r="J403" s="19" t="str">
        <x:v>https://www.p5w.net/roll/zqzx/202510/t20251009_6412374.htm</x:v>
      </x:c>
      <x:c r="K403" s="19" t="str">
        <x:v>https://www.p5w.net/roll/zqzx/202510/t20251009_6412374.htm</x:v>
      </x:c>
      <x:c r="L403" s="19"/>
      <x:c r="M403" s="19"/>
      <x:c r="N403" s="19"/>
      <x:c r="O403" s="19" t="str">
        <x:v>candidate-only</x:v>
      </x:c>
      <x:c r="P403" s="33" t="b">
        <x:v>0</x:v>
      </x:c>
      <x:c r="Q403" s="19" t="n">
        <x:v>1</x:v>
      </x:c>
      <x:c r="R403" s="19" t="str">
        <x:v>conditional-local-file-unavailable</x:v>
      </x:c>
    </x:row>
    <x:row r="404" ht="15" hidden="0" customHeight="1">
      <x:c r="A404" s="19" t="str">
        <x:v>R01–R04审计</x:v>
      </x:c>
      <x:c r="B404" s="19" t="str">
        <x:v>media-candidate-cambricon-2d5c75734d6e</x:v>
      </x:c>
      <x:c r="C404" s="19" t="str">
        <x:v>寒武纪</x:v>
      </x:c>
      <x:c r="D404" s="19" t="str">
        <x:v>权威媒体候选</x:v>
      </x:c>
      <x:c r="E404" s="19" t="str">
        <x:v>10月券商金股出炉，这些股获力挺</x:v>
      </x:c>
      <x:c r="F404" s="19"/>
      <x:c r="G404" s="19"/>
      <x:c r="H404" s="19"/>
      <x:c r="I404" s="19" t="str">
        <x:v>2025-10-09</x:v>
      </x:c>
      <x:c r="J404" s="19" t="str">
        <x:v>https://www.p5w.net/roll/zqzx/202510/t20251009_6412365.htm</x:v>
      </x:c>
      <x:c r="K404" s="19" t="str">
        <x:v>https://www.p5w.net/roll/zqzx/202510/t20251009_6412365.htm</x:v>
      </x:c>
      <x:c r="L404" s="19"/>
      <x:c r="M404" s="19"/>
      <x:c r="N404" s="19"/>
      <x:c r="O404" s="19" t="str">
        <x:v>candidate-only</x:v>
      </x:c>
      <x:c r="P404" s="33" t="b">
        <x:v>0</x:v>
      </x:c>
      <x:c r="Q404" s="19" t="n">
        <x:v>1</x:v>
      </x:c>
      <x:c r="R404" s="19" t="str">
        <x:v>conditional-local-file-unavailable</x:v>
      </x:c>
    </x:row>
    <x:row r="405" ht="15" hidden="0" customHeight="1">
      <x:c r="A405" s="19" t="str">
        <x:v>R01–R04审计</x:v>
      </x:c>
      <x:c r="B405" s="19" t="str">
        <x:v>media-candidate-cambricon-ef9e5cac9fcb</x:v>
      </x:c>
      <x:c r="C405" s="19" t="str">
        <x:v>寒武纪</x:v>
      </x:c>
      <x:c r="D405" s="19" t="str">
        <x:v>权威媒体候选</x:v>
      </x:c>
      <x:c r="E405" s="19" t="str">
        <x:v>节后首个交易日A股市场迎来补涨行情，数字经济ETF（560800）涨4.48%</x:v>
      </x:c>
      <x:c r="F405" s="19"/>
      <x:c r="G405" s="19"/>
      <x:c r="H405" s="19"/>
      <x:c r="I405" s="19" t="str">
        <x:v>2025-10-09</x:v>
      </x:c>
      <x:c r="J405" s="19" t="str">
        <x:v>https://www.p5w.net/roll/zqzx/202510/t20251009_6412313.htm</x:v>
      </x:c>
      <x:c r="K405" s="19" t="str">
        <x:v>https://www.p5w.net/roll/zqzx/202510/t20251009_6412313.htm</x:v>
      </x:c>
      <x:c r="L405" s="19"/>
      <x:c r="M405" s="19"/>
      <x:c r="N405" s="19"/>
      <x:c r="O405" s="19" t="str">
        <x:v>candidate-only</x:v>
      </x:c>
      <x:c r="P405" s="33" t="b">
        <x:v>0</x:v>
      </x:c>
      <x:c r="Q405" s="19" t="n">
        <x:v>1</x:v>
      </x:c>
      <x:c r="R405" s="19" t="str">
        <x:v>conditional-local-file-unavailable</x:v>
      </x:c>
    </x:row>
    <x:row r="406" ht="21.600000381469727" hidden="0" customHeight="1">
      <x:c r="A406" s="19" t="str">
        <x:v>R01–R04审计</x:v>
      </x:c>
      <x:c r="B406" s="19" t="str">
        <x:v>media-candidate-cambricon-1425dbacd9ad</x:v>
      </x:c>
      <x:c r="C406" s="19" t="str">
        <x:v>寒武纪</x:v>
      </x:c>
      <x:c r="D406" s="19" t="str">
        <x:v>权威媒体候选</x:v>
      </x:c>
      <x:c r="E406" s="19" t="str">
        <x:v>科技板块与传统消费是“相辅相成”，而非“此消彼长”——从贵州茅台看消费龙头企业在经济结构转型期的应对策略</x:v>
      </x:c>
      <x:c r="F406" s="19"/>
      <x:c r="G406" s="19"/>
      <x:c r="H406" s="19"/>
      <x:c r="I406" s="19" t="str">
        <x:v>2025-10-01</x:v>
      </x:c>
      <x:c r="J406" s="19" t="str">
        <x:v>https://www.p5w.net/roll/zqzx/202510/t20251001_6398673.htm</x:v>
      </x:c>
      <x:c r="K406" s="19" t="str">
        <x:v>https://www.p5w.net/roll/zqzx/202510/t20251001_6398673.htm</x:v>
      </x:c>
      <x:c r="L406" s="19"/>
      <x:c r="M406" s="19"/>
      <x:c r="N406" s="19"/>
      <x:c r="O406" s="19" t="str">
        <x:v>candidate-only</x:v>
      </x:c>
      <x:c r="P406" s="33" t="b">
        <x:v>0</x:v>
      </x:c>
      <x:c r="Q406" s="19" t="n">
        <x:v>1</x:v>
      </x:c>
      <x:c r="R406" s="19" t="str">
        <x:v>conditional-local-file-unavailable</x:v>
      </x:c>
    </x:row>
    <x:row r="407" ht="15" hidden="0" customHeight="1">
      <x:c r="A407" s="19" t="str">
        <x:v>R01–R04审计</x:v>
      </x:c>
      <x:c r="B407" s="19" t="str">
        <x:v>media-candidate-cambricon-e65623c492b6</x:v>
      </x:c>
      <x:c r="C407" s="19" t="str">
        <x:v>寒武纪</x:v>
      </x:c>
      <x:c r="D407" s="19" t="str">
        <x:v>权威媒体候选</x:v>
      </x:c>
      <x:c r="E407" s="19" t="str">
        <x:v>抢滩“无形战场”：科技巨头重金押注AI基建，决胜超级人工智能时代！</x:v>
      </x:c>
      <x:c r="F407" s="19"/>
      <x:c r="G407" s="19"/>
      <x:c r="H407" s="19"/>
      <x:c r="I407" s="19" t="str">
        <x:v>2025-09-30</x:v>
      </x:c>
      <x:c r="J407" s="19" t="str">
        <x:v>https://www.p5w.net/roll/zqzx/202509/t20250930_6398539.htm</x:v>
      </x:c>
      <x:c r="K407" s="19" t="str">
        <x:v>https://www.p5w.net/roll/zqzx/202509/t20250930_6398539.htm</x:v>
      </x:c>
      <x:c r="L407" s="19"/>
      <x:c r="M407" s="19"/>
      <x:c r="N407" s="19"/>
      <x:c r="O407" s="19" t="str">
        <x:v>candidate-only</x:v>
      </x:c>
      <x:c r="P407" s="33" t="b">
        <x:v>0</x:v>
      </x:c>
      <x:c r="Q407" s="19" t="n">
        <x:v>1</x:v>
      </x:c>
      <x:c r="R407" s="19" t="str">
        <x:v>conditional-local-file-unavailable</x:v>
      </x:c>
    </x:row>
    <x:row r="408" ht="15" hidden="0" customHeight="1">
      <x:c r="A408" s="19" t="str">
        <x:v>R01–R04审计</x:v>
      </x:c>
      <x:c r="B408" s="19" t="str">
        <x:v>media-candidate-cambricon-bc3aec7a6fcc</x:v>
      </x:c>
      <x:c r="C408" s="19" t="str">
        <x:v>寒武纪</x:v>
      </x:c>
      <x:c r="D408" s="19" t="str">
        <x:v>权威媒体候选</x:v>
      </x:c>
      <x:c r="E408" s="19" t="str">
        <x:v>AI应用商业化拐点临近，数字经济ETF（560800）涨1.02%</x:v>
      </x:c>
      <x:c r="F408" s="19"/>
      <x:c r="G408" s="19"/>
      <x:c r="H408" s="19"/>
      <x:c r="I408" s="19" t="str">
        <x:v>2025-09-30</x:v>
      </x:c>
      <x:c r="J408" s="19" t="str">
        <x:v>https://www.p5w.net/roll/zqzx/202509/t20250930_6398490.htm</x:v>
      </x:c>
      <x:c r="K408" s="19" t="str">
        <x:v>https://www.p5w.net/roll/zqzx/202509/t20250930_6398490.htm</x:v>
      </x:c>
      <x:c r="L408" s="19"/>
      <x:c r="M408" s="19"/>
      <x:c r="N408" s="19"/>
      <x:c r="O408" s="19" t="str">
        <x:v>candidate-only</x:v>
      </x:c>
      <x:c r="P408" s="33" t="b">
        <x:v>0</x:v>
      </x:c>
      <x:c r="Q408" s="19" t="n">
        <x:v>1</x:v>
      </x:c>
      <x:c r="R408" s="19" t="str">
        <x:v>conditional-local-file-unavailable</x:v>
      </x:c>
    </x:row>
    <x:row r="409" ht="15" hidden="0" customHeight="1">
      <x:c r="A409" s="19" t="str">
        <x:v>R01–R04审计</x:v>
      </x:c>
      <x:c r="B409" s="19" t="str">
        <x:v>media-candidate-cambricon-5b2abad630ac</x:v>
      </x:c>
      <x:c r="C409" s="19" t="str">
        <x:v>寒武纪</x:v>
      </x:c>
      <x:c r="D409" s="19" t="str">
        <x:v>权威媒体候选</x:v>
      </x:c>
      <x:c r="E409" s="19" t="str">
        <x:v>AI群雄逐鹿“三超”新阶段 基金锚定“算力竞争”投资机会</x:v>
      </x:c>
      <x:c r="F409" s="19"/>
      <x:c r="G409" s="19"/>
      <x:c r="H409" s="19"/>
      <x:c r="I409" s="19" t="str">
        <x:v>2025-09-29</x:v>
      </x:c>
      <x:c r="J409" s="19" t="str">
        <x:v>https://www.p5w.net/roll/fund/202509/t20250929_6398250.htm</x:v>
      </x:c>
      <x:c r="K409" s="19" t="str">
        <x:v>https://www.p5w.net/roll/fund/202509/t20250929_6398250.htm</x:v>
      </x:c>
      <x:c r="L409" s="19"/>
      <x:c r="M409" s="19"/>
      <x:c r="N409" s="19"/>
      <x:c r="O409" s="19" t="str">
        <x:v>candidate-only</x:v>
      </x:c>
      <x:c r="P409" s="33" t="b">
        <x:v>0</x:v>
      </x:c>
      <x:c r="Q409" s="19" t="n">
        <x:v>1</x:v>
      </x:c>
      <x:c r="R409" s="19" t="str">
        <x:v>conditional-local-file-unavailable</x:v>
      </x:c>
    </x:row>
    <x:row r="410" ht="15" hidden="0" customHeight="1">
      <x:c r="A410" s="19" t="str">
        <x:v>R01–R04审计</x:v>
      </x:c>
      <x:c r="B410" s="19" t="str">
        <x:v>media-candidate-cambricon-887439caaceb</x:v>
      </x:c>
      <x:c r="C410" s="19" t="str">
        <x:v>寒武纪</x:v>
      </x:c>
      <x:c r="D410" s="19" t="str">
        <x:v>权威媒体候选</x:v>
      </x:c>
      <x:c r="E410" s="19" t="str">
        <x:v>如何看待人形机器人一哥“优必选”</x:v>
      </x:c>
      <x:c r="F410" s="19"/>
      <x:c r="G410" s="19"/>
      <x:c r="H410" s="19"/>
      <x:c r="I410" s="19" t="str">
        <x:v>2025-09-25</x:v>
      </x:c>
      <x:c r="J410" s="19" t="str">
        <x:v>https://www.p5w.net/roll/pcj/202509/t20250925_6397606.htm</x:v>
      </x:c>
      <x:c r="K410" s="19" t="str">
        <x:v>https://www.p5w.net/roll/pcj/202509/t20250925_6397606.htm</x:v>
      </x:c>
      <x:c r="L410" s="19"/>
      <x:c r="M410" s="19"/>
      <x:c r="N410" s="19"/>
      <x:c r="O410" s="19" t="str">
        <x:v>candidate-only</x:v>
      </x:c>
      <x:c r="P410" s="33" t="b">
        <x:v>0</x:v>
      </x:c>
      <x:c r="Q410" s="19" t="n">
        <x:v>1</x:v>
      </x:c>
      <x:c r="R410" s="19" t="str">
        <x:v>conditional-local-file-unavailable</x:v>
      </x:c>
    </x:row>
    <x:row r="411" ht="15" hidden="0" customHeight="1">
      <x:c r="A411" s="19" t="str">
        <x:v>R01–R04审计</x:v>
      </x:c>
      <x:c r="B411" s="19" t="str">
        <x:v>media-candidate-cambricon-a484f8b98eab</x:v>
      </x:c>
      <x:c r="C411" s="19" t="str">
        <x:v>寒武纪</x:v>
      </x:c>
      <x:c r="D411" s="19" t="str">
        <x:v>权威媒体候选</x:v>
      </x:c>
      <x:c r="E411" s="19" t="str">
        <x:v>算法是中国人工智能发展关键，人工智能AIETF（515070）持仓股瑞芯微大涨超8%</x:v>
      </x:c>
      <x:c r="F411" s="19"/>
      <x:c r="G411" s="19"/>
      <x:c r="H411" s="19"/>
      <x:c r="I411" s="19" t="str">
        <x:v>2025-09-18</x:v>
      </x:c>
      <x:c r="J411" s="19" t="str">
        <x:v>https://www.p5w.net/roll/zqzx/202509/t20250918_6396346.htm</x:v>
      </x:c>
      <x:c r="K411" s="19" t="str">
        <x:v>https://www.p5w.net/roll/zqzx/202509/t20250918_6396346.htm</x:v>
      </x:c>
      <x:c r="L411" s="19"/>
      <x:c r="M411" s="19"/>
      <x:c r="N411" s="19"/>
      <x:c r="O411" s="19" t="str">
        <x:v>candidate-only</x:v>
      </x:c>
      <x:c r="P411" s="33" t="b">
        <x:v>0</x:v>
      </x:c>
      <x:c r="Q411" s="19" t="n">
        <x:v>1</x:v>
      </x:c>
      <x:c r="R411" s="19" t="str">
        <x:v>conditional-local-file-unavailable</x:v>
      </x:c>
    </x:row>
    <x:row r="412" ht="21.600000381469727" hidden="0" customHeight="1">
      <x:c r="A412" s="19" t="str">
        <x:v>R01–R04审计</x:v>
      </x:c>
      <x:c r="B412" s="19" t="str">
        <x:v>media-candidate-cambricon-0c84bc229ac6</x:v>
      </x:c>
      <x:c r="C412" s="19" t="str">
        <x:v>寒武纪</x:v>
      </x:c>
      <x:c r="D412" s="19" t="str">
        <x:v>权威媒体候选</x:v>
      </x:c>
      <x:c r="E412" s="19" t="str">
        <x:v>华为预计2026年一季度推出昇腾950PR芯片，科创半导体ETF（588170）涨幅领先半导体板块！</x:v>
      </x:c>
      <x:c r="F412" s="19"/>
      <x:c r="G412" s="19"/>
      <x:c r="H412" s="19"/>
      <x:c r="I412" s="19" t="str">
        <x:v>2025-09-18</x:v>
      </x:c>
      <x:c r="J412" s="19" t="str">
        <x:v>https://www.p5w.net/roll/zqzx/202509/t20250918_6396311.htm</x:v>
      </x:c>
      <x:c r="K412" s="19" t="str">
        <x:v>https://www.p5w.net/roll/zqzx/202509/t20250918_6396311.htm</x:v>
      </x:c>
      <x:c r="L412" s="19"/>
      <x:c r="M412" s="19"/>
      <x:c r="N412" s="19"/>
      <x:c r="O412" s="19" t="str">
        <x:v>candidate-only</x:v>
      </x:c>
      <x:c r="P412" s="33" t="b">
        <x:v>0</x:v>
      </x:c>
      <x:c r="Q412" s="19" t="n">
        <x:v>1</x:v>
      </x:c>
      <x:c r="R412" s="19" t="str">
        <x:v>conditional-local-file-unavailable</x:v>
      </x:c>
    </x:row>
    <x:row r="413" ht="15" hidden="0" customHeight="1">
      <x:c r="A413" s="19" t="str">
        <x:v>R01–R04审计</x:v>
      </x:c>
      <x:c r="B413" s="19" t="str">
        <x:v>media-candidate-cambricon-9d5d8850bf74</x:v>
      </x:c>
      <x:c r="C413" s="19" t="str">
        <x:v>寒武纪</x:v>
      </x:c>
      <x:c r="D413" s="19" t="str">
        <x:v>权威媒体候选</x:v>
      </x:c>
      <x:c r="E413" s="19" t="str">
        <x:v>药捷安康股价坐过山车 ETF被动“抬轿”又“踩雷”</x:v>
      </x:c>
      <x:c r="F413" s="19"/>
      <x:c r="G413" s="19"/>
      <x:c r="H413" s="19"/>
      <x:c r="I413" s="19" t="str">
        <x:v>2025-09-18</x:v>
      </x:c>
      <x:c r="J413" s="19" t="str">
        <x:v>https://www.p5w.net/roll/fund/202509/t20250918_6396249.htm</x:v>
      </x:c>
      <x:c r="K413" s="19" t="str">
        <x:v>https://www.p5w.net/roll/fund/202509/t20250918_6396249.htm</x:v>
      </x:c>
      <x:c r="L413" s="19"/>
      <x:c r="M413" s="19"/>
      <x:c r="N413" s="19"/>
      <x:c r="O413" s="19" t="str">
        <x:v>candidate-only</x:v>
      </x:c>
      <x:c r="P413" s="33" t="b">
        <x:v>0</x:v>
      </x:c>
      <x:c r="Q413" s="19" t="n">
        <x:v>1</x:v>
      </x:c>
      <x:c r="R413" s="19" t="str">
        <x:v>conditional-local-file-unavailable</x:v>
      </x:c>
    </x:row>
    <x:row r="414" ht="15" hidden="0" customHeight="1">
      <x:c r="A414" s="19" t="str">
        <x:v>R01–R04审计</x:v>
      </x:c>
      <x:c r="B414" s="19" t="str">
        <x:v>media-candidate-cambricon-5e62e5fa81c3</x:v>
      </x:c>
      <x:c r="C414" s="19" t="str">
        <x:v>寒武纪</x:v>
      </x:c>
      <x:c r="D414" s="19" t="str">
        <x:v>权威媒体候选</x:v>
      </x:c>
      <x:c r="E414" s="19" t="str">
        <x:v>从“拼模型”到“拼算力” 科技巨头挺进AI“芯”战场</x:v>
      </x:c>
      <x:c r="F414" s="19"/>
      <x:c r="G414" s="19"/>
      <x:c r="H414" s="19"/>
      <x:c r="I414" s="19" t="str">
        <x:v>2025-09-15</x:v>
      </x:c>
      <x:c r="J414" s="19" t="str">
        <x:v>https://www.p5w.net/roll/stock/202509/t20250915_6395452.htm</x:v>
      </x:c>
      <x:c r="K414" s="19" t="str">
        <x:v>https://www.p5w.net/roll/stock/202509/t20250915_6395452.htm</x:v>
      </x:c>
      <x:c r="L414" s="19"/>
      <x:c r="M414" s="19"/>
      <x:c r="N414" s="19"/>
      <x:c r="O414" s="19" t="str">
        <x:v>candidate-only</x:v>
      </x:c>
      <x:c r="P414" s="33" t="b">
        <x:v>0</x:v>
      </x:c>
      <x:c r="Q414" s="19" t="n">
        <x:v>1</x:v>
      </x:c>
      <x:c r="R414" s="19" t="str">
        <x:v>conditional-local-file-unavailable</x:v>
      </x:c>
    </x:row>
    <x:row r="415" ht="15" hidden="0" customHeight="1">
      <x:c r="A415" s="19" t="str">
        <x:v>R01–R04审计</x:v>
      </x:c>
      <x:c r="B415" s="19" t="str">
        <x:v>media-candidate-cambricon-456dcd6f2229</x:v>
      </x:c>
      <x:c r="C415" s="19" t="str">
        <x:v>寒武纪</x:v>
      </x:c>
      <x:c r="D415" s="19" t="str">
        <x:v>权威媒体候选</x:v>
      </x:c>
      <x:c r="E415" s="19" t="str">
        <x:v>A股，突发暴涨！外资大举买入</x:v>
      </x:c>
      <x:c r="F415" s="19"/>
      <x:c r="G415" s="19"/>
      <x:c r="H415" s="19"/>
      <x:c r="I415" s="19" t="str">
        <x:v>2025-09-11</x:v>
      </x:c>
      <x:c r="J415" s="19" t="str">
        <x:v>https://www.p5w.net/roll/zqzx/202509/t20250911_6395016.htm</x:v>
      </x:c>
      <x:c r="K415" s="19" t="str">
        <x:v>https://www.p5w.net/roll/zqzx/202509/t20250911_6395016.htm</x:v>
      </x:c>
      <x:c r="L415" s="19"/>
      <x:c r="M415" s="19"/>
      <x:c r="N415" s="19"/>
      <x:c r="O415" s="19" t="str">
        <x:v>candidate-only</x:v>
      </x:c>
      <x:c r="P415" s="33" t="b">
        <x:v>0</x:v>
      </x:c>
      <x:c r="Q415" s="19" t="n">
        <x:v>1</x:v>
      </x:c>
      <x:c r="R415" s="19" t="str">
        <x:v>conditional-local-file-unavailable</x:v>
      </x:c>
    </x:row>
    <x:row r="416" ht="15" hidden="0" customHeight="1">
      <x:c r="A416" s="19" t="str">
        <x:v>R01–R04审计</x:v>
      </x:c>
      <x:c r="B416" s="19" t="str">
        <x:v>media-candidate-cambricon-b0e2c7ef72c0</x:v>
      </x:c>
      <x:c r="C416" s="19" t="str">
        <x:v>寒武纪</x:v>
      </x:c>
      <x:c r="D416" s="19" t="str">
        <x:v>权威媒体候选</x:v>
      </x:c>
      <x:c r="E416" s="19" t="str">
        <x:v>人工智能产业近期利好不断，数字经济ETF（560800）涨1.08%</x:v>
      </x:c>
      <x:c r="F416" s="19"/>
      <x:c r="G416" s="19"/>
      <x:c r="H416" s="19"/>
      <x:c r="I416" s="19" t="str">
        <x:v>2025-09-11</x:v>
      </x:c>
      <x:c r="J416" s="19" t="str">
        <x:v>https://www.p5w.net/roll/zqzx/202509/t20250911_6394884.htm</x:v>
      </x:c>
      <x:c r="K416" s="19" t="str">
        <x:v>https://www.p5w.net/roll/zqzx/202509/t20250911_6394884.htm</x:v>
      </x:c>
      <x:c r="L416" s="19"/>
      <x:c r="M416" s="19"/>
      <x:c r="N416" s="19"/>
      <x:c r="O416" s="19" t="str">
        <x:v>candidate-only</x:v>
      </x:c>
      <x:c r="P416" s="33" t="b">
        <x:v>0</x:v>
      </x:c>
      <x:c r="Q416" s="19" t="n">
        <x:v>1</x:v>
      </x:c>
      <x:c r="R416" s="19" t="str">
        <x:v>conditional-local-file-unavailable</x:v>
      </x:c>
    </x:row>
    <x:row r="417" ht="15" hidden="0" customHeight="1">
      <x:c r="A417" s="19" t="str">
        <x:v>R01–R04审计</x:v>
      </x:c>
      <x:c r="B417" s="19" t="str">
        <x:v>media-candidate-cambricon-5021fd52bd22</x:v>
      </x:c>
      <x:c r="C417" s="19" t="str">
        <x:v>寒武纪</x:v>
      </x:c>
      <x:c r="D417" s="19" t="str">
        <x:v>权威媒体候选</x:v>
      </x:c>
      <x:c r="E417" s="19" t="str">
        <x:v>两融业务火热 首现券商半年内两次上调额度</x:v>
      </x:c>
      <x:c r="F417" s="19"/>
      <x:c r="G417" s="19"/>
      <x:c r="H417" s="19"/>
      <x:c r="I417" s="19" t="str">
        <x:v>2025-09-11</x:v>
      </x:c>
      <x:c r="J417" s="19" t="str">
        <x:v>https://www.p5w.net/roll/stock/202509/t20250911_6394814.htm</x:v>
      </x:c>
      <x:c r="K417" s="19" t="str">
        <x:v>https://www.p5w.net/roll/stock/202509/t20250911_6394814.htm</x:v>
      </x:c>
      <x:c r="L417" s="19"/>
      <x:c r="M417" s="19"/>
      <x:c r="N417" s="19"/>
      <x:c r="O417" s="19" t="str">
        <x:v>candidate-only</x:v>
      </x:c>
      <x:c r="P417" s="33" t="b">
        <x:v>0</x:v>
      </x:c>
      <x:c r="Q417" s="19" t="n">
        <x:v>1</x:v>
      </x:c>
      <x:c r="R417" s="19" t="str">
        <x:v>conditional-local-file-unavailable</x:v>
      </x:c>
    </x:row>
    <x:row r="418" ht="21.600000381469727" hidden="0" customHeight="1">
      <x:c r="A418" s="19" t="str">
        <x:v>R01–R04审计</x:v>
      </x:c>
      <x:c r="B418" s="19" t="str">
        <x:v>media-candidate-cambricon-66b42c6d9d2e</x:v>
      </x:c>
      <x:c r="C418" s="19" t="str">
        <x:v>寒武纪</x:v>
      </x:c>
      <x:c r="D418" s="19" t="str">
        <x:v>权威媒体候选</x:v>
      </x:c>
      <x:c r="E418" s="19" t="str">
        <x:v>人工智能成果应用陆续落地展示，机构称行业仍处景气周期，数字经济ETF（560800）涨1.53%</x:v>
      </x:c>
      <x:c r="F418" s="19"/>
      <x:c r="G418" s="19"/>
      <x:c r="H418" s="19"/>
      <x:c r="I418" s="19" t="str">
        <x:v>2025-09-10</x:v>
      </x:c>
      <x:c r="J418" s="19" t="str">
        <x:v>https://www.p5w.net/roll/zqzx/202509/t20250910_6394632.htm</x:v>
      </x:c>
      <x:c r="K418" s="19" t="str">
        <x:v>https://www.p5w.net/roll/zqzx/202509/t20250910_6394632.htm</x:v>
      </x:c>
      <x:c r="L418" s="19"/>
      <x:c r="M418" s="19"/>
      <x:c r="N418" s="19"/>
      <x:c r="O418" s="19" t="str">
        <x:v>candidate-only</x:v>
      </x:c>
      <x:c r="P418" s="33" t="b">
        <x:v>0</x:v>
      </x:c>
      <x:c r="Q418" s="19" t="n">
        <x:v>1</x:v>
      </x:c>
      <x:c r="R418" s="19" t="str">
        <x:v>conditional-local-file-unavailable</x:v>
      </x:c>
    </x:row>
    <x:row r="419" ht="15" hidden="0" customHeight="1">
      <x:c r="A419" s="19" t="str">
        <x:v>R01–R04审计</x:v>
      </x:c>
      <x:c r="B419" s="19" t="str">
        <x:v>media-candidate-cambricon-0d480d0784ce</x:v>
      </x:c>
      <x:c r="C419" s="19" t="str">
        <x:v>寒武纪</x:v>
      </x:c>
      <x:c r="D419" s="19" t="str">
        <x:v>权威媒体候选</x:v>
      </x:c>
      <x:c r="E419" s="19" t="str">
        <x:v>机构表示人工智能板块仍然处在景气度周期，人工智能AIETF（515070）涨2.54%</x:v>
      </x:c>
      <x:c r="F419" s="19"/>
      <x:c r="G419" s="19"/>
      <x:c r="H419" s="19"/>
      <x:c r="I419" s="19" t="str">
        <x:v>2025-09-10</x:v>
      </x:c>
      <x:c r="J419" s="19" t="str">
        <x:v>https://www.p5w.net/roll/zqzx/202509/t20250910_6394610.htm</x:v>
      </x:c>
      <x:c r="K419" s="19" t="str">
        <x:v>https://www.p5w.net/roll/zqzx/202509/t20250910_6394610.htm</x:v>
      </x:c>
      <x:c r="L419" s="19"/>
      <x:c r="M419" s="19"/>
      <x:c r="N419" s="19"/>
      <x:c r="O419" s="19" t="str">
        <x:v>candidate-only</x:v>
      </x:c>
      <x:c r="P419" s="33" t="b">
        <x:v>0</x:v>
      </x:c>
      <x:c r="Q419" s="19" t="n">
        <x:v>1</x:v>
      </x:c>
      <x:c r="R419" s="19" t="str">
        <x:v>conditional-local-file-unavailable</x:v>
      </x:c>
    </x:row>
    <x:row r="420" ht="15" hidden="0" customHeight="1">
      <x:c r="A420" s="19" t="str">
        <x:v>R01–R04审计</x:v>
      </x:c>
      <x:c r="B420" s="19" t="str">
        <x:v>media-candidate-cambricon-4211447a5ac6</x:v>
      </x:c>
      <x:c r="C420" s="19" t="str">
        <x:v>寒武纪</x:v>
      </x:c>
      <x:c r="D420" s="19" t="str">
        <x:v>权威媒体候选</x:v>
      </x:c>
      <x:c r="E420" s="19" t="str">
        <x:v>既是压舱石也是搭台人 五万亿ETF重塑A股交易生态</x:v>
      </x:c>
      <x:c r="F420" s="19"/>
      <x:c r="G420" s="19"/>
      <x:c r="H420" s="19"/>
      <x:c r="I420" s="19" t="str">
        <x:v>2025-09-08</x:v>
      </x:c>
      <x:c r="J420" s="19" t="str">
        <x:v>https://www.p5w.net/roll/stock/202509/t20250908_6394082.htm</x:v>
      </x:c>
      <x:c r="K420" s="19" t="str">
        <x:v>https://www.p5w.net/roll/stock/202509/t20250908_6394082.htm</x:v>
      </x:c>
      <x:c r="L420" s="19"/>
      <x:c r="M420" s="19"/>
      <x:c r="N420" s="19"/>
      <x:c r="O420" s="19" t="str">
        <x:v>candidate-only</x:v>
      </x:c>
      <x:c r="P420" s="33" t="b">
        <x:v>0</x:v>
      </x:c>
      <x:c r="Q420" s="19" t="n">
        <x:v>1</x:v>
      </x:c>
      <x:c r="R420" s="19" t="str">
        <x:v>conditional-local-file-unavailable</x:v>
      </x:c>
    </x:row>
    <x:row r="421" ht="15" hidden="0" customHeight="1">
      <x:c r="A421" s="19" t="str">
        <x:v>R01–R04审计</x:v>
      </x:c>
      <x:c r="B421" s="19" t="str">
        <x:v>media-candidate-cambricon-85a0957f1f4c</x:v>
      </x:c>
      <x:c r="C421" s="19" t="str">
        <x:v>寒武纪</x:v>
      </x:c>
      <x:c r="D421" s="19" t="str">
        <x:v>权威媒体候选</x:v>
      </x:c>
      <x:c r="E421" s="19" t="str">
        <x:v>专家：科创50指数代表性将进一步增强</x:v>
      </x:c>
      <x:c r="F421" s="19"/>
      <x:c r="G421" s="19"/>
      <x:c r="H421" s="19"/>
      <x:c r="I421" s="19" t="str">
        <x:v>2025-09-04</x:v>
      </x:c>
      <x:c r="J421" s="19" t="str">
        <x:v>https://www.p5w.net/roll/zqzx/202509/t20250904_6393800.htm</x:v>
      </x:c>
      <x:c r="K421" s="19" t="str">
        <x:v>https://www.p5w.net/roll/zqzx/202509/t20250904_6393800.htm</x:v>
      </x:c>
      <x:c r="L421" s="19"/>
      <x:c r="M421" s="19"/>
      <x:c r="N421" s="19"/>
      <x:c r="O421" s="19" t="str">
        <x:v>candidate-only</x:v>
      </x:c>
      <x:c r="P421" s="33" t="b">
        <x:v>0</x:v>
      </x:c>
      <x:c r="Q421" s="19" t="n">
        <x:v>1</x:v>
      </x:c>
      <x:c r="R421" s="19" t="str">
        <x:v>conditional-local-file-unavailable</x:v>
      </x:c>
    </x:row>
    <x:row r="422" ht="15" hidden="0" customHeight="1">
      <x:c r="A422" s="19" t="str">
        <x:v>R01–R04审计</x:v>
      </x:c>
      <x:c r="B422" s="19" t="str">
        <x:v>media-candidate-cambricon-54e0aafe5ea3</x:v>
      </x:c>
      <x:c r="C422" s="19" t="str">
        <x:v>寒武纪</x:v>
      </x:c>
      <x:c r="D422" s="19" t="str">
        <x:v>权威媒体候选</x:v>
      </x:c>
      <x:c r="E422" s="19" t="str">
        <x:v>跌懵了！688256，“中国英伟达”，一周跌没1600亿！</x:v>
      </x:c>
      <x:c r="F422" s="19"/>
      <x:c r="G422" s="19"/>
      <x:c r="H422" s="19"/>
      <x:c r="I422" s="19" t="str">
        <x:v>2025-09-04</x:v>
      </x:c>
      <x:c r="J422" s="19" t="str">
        <x:v>https://www.p5w.net/roll/pcj/202509/t20250904_6393793.htm</x:v>
      </x:c>
      <x:c r="K422" s="19" t="str">
        <x:v>https://www.p5w.net/roll/pcj/202509/t20250904_6393793.htm</x:v>
      </x:c>
      <x:c r="L422" s="19"/>
      <x:c r="M422" s="19"/>
      <x:c r="N422" s="19"/>
      <x:c r="O422" s="19" t="str">
        <x:v>candidate-only</x:v>
      </x:c>
      <x:c r="P422" s="33" t="b">
        <x:v>0</x:v>
      </x:c>
      <x:c r="Q422" s="19" t="n">
        <x:v>1</x:v>
      </x:c>
      <x:c r="R422" s="19" t="str">
        <x:v>conditional-local-file-unavailable</x:v>
      </x:c>
    </x:row>
    <x:row r="423" ht="15" hidden="0" customHeight="1">
      <x:c r="A423" s="19" t="str">
        <x:v>R01–R04审计</x:v>
      </x:c>
      <x:c r="B423" s="19" t="str">
        <x:v>media-candidate-cambricon-dd78f0045969</x:v>
      </x:c>
      <x:c r="C423" s="19" t="str">
        <x:v>寒武纪</x:v>
      </x:c>
      <x:c r="D423" s="19" t="str">
        <x:v>权威媒体候选</x:v>
      </x:c>
      <x:c r="E423" s="19" t="str">
        <x:v>突发调整！海外重磅消息</x:v>
      </x:c>
      <x:c r="F423" s="19"/>
      <x:c r="G423" s="19"/>
      <x:c r="H423" s="19"/>
      <x:c r="I423" s="19" t="str">
        <x:v>2025-09-04</x:v>
      </x:c>
      <x:c r="J423" s="19" t="str">
        <x:v>https://www.p5w.net/roll/zqzx/202509/t20250904_6393745.htm</x:v>
      </x:c>
      <x:c r="K423" s="19" t="str">
        <x:v>https://www.p5w.net/roll/zqzx/202509/t20250904_6393745.htm</x:v>
      </x:c>
      <x:c r="L423" s="19"/>
      <x:c r="M423" s="19"/>
      <x:c r="N423" s="19"/>
      <x:c r="O423" s="19" t="str">
        <x:v>candidate-only</x:v>
      </x:c>
      <x:c r="P423" s="33" t="b">
        <x:v>0</x:v>
      </x:c>
      <x:c r="Q423" s="19" t="n">
        <x:v>1</x:v>
      </x:c>
      <x:c r="R423" s="19" t="str">
        <x:v>conditional-local-file-unavailable</x:v>
      </x:c>
    </x:row>
    <x:row r="424" ht="15" hidden="0" customHeight="1">
      <x:c r="A424" s="19" t="str">
        <x:v>R01–R04审计</x:v>
      </x:c>
      <x:c r="B424" s="19" t="str">
        <x:v>media-candidate-cambricon-6ef5a787b662</x:v>
      </x:c>
      <x:c r="C424" s="19" t="str">
        <x:v>寒武纪</x:v>
      </x:c>
      <x:c r="D424" s="19" t="str">
        <x:v>权威媒体候选</x:v>
      </x:c>
      <x:c r="E424" s="19" t="str">
        <x:v>9月1日证券之星午间消息汇总：事关并购重组！28家A股公司公告</x:v>
      </x:c>
      <x:c r="F424" s="19"/>
      <x:c r="G424" s="19"/>
      <x:c r="H424" s="19"/>
      <x:c r="I424" s="19" t="str">
        <x:v>2025-09-01</x:v>
      </x:c>
      <x:c r="J424" s="19" t="str">
        <x:v>https://www.p5w.net/roll/zqzx/202509/t20250901_6393070.htm</x:v>
      </x:c>
      <x:c r="K424" s="19" t="str">
        <x:v>https://www.p5w.net/roll/zqzx/202509/t20250901_6393070.htm</x:v>
      </x:c>
      <x:c r="L424" s="19"/>
      <x:c r="M424" s="19"/>
      <x:c r="N424" s="19"/>
      <x:c r="O424" s="19" t="str">
        <x:v>candidate-only</x:v>
      </x:c>
      <x:c r="P424" s="33" t="b">
        <x:v>0</x:v>
      </x:c>
      <x:c r="Q424" s="19" t="n">
        <x:v>1</x:v>
      </x:c>
      <x:c r="R424" s="19" t="str">
        <x:v>conditional-local-file-unavailable</x:v>
      </x:c>
    </x:row>
    <x:row r="425" ht="15" hidden="0" customHeight="1">
      <x:c r="A425" s="19" t="str">
        <x:v>R01–R04审计</x:v>
      </x:c>
      <x:c r="B425" s="19" t="str">
        <x:v>media-candidate-cambricon-d9745c726ec7</x:v>
      </x:c>
      <x:c r="C425" s="19" t="str">
        <x:v>寒武纪</x:v>
      </x:c>
      <x:c r="D425" s="19" t="str">
        <x:v>权威媒体候选</x:v>
      </x:c>
      <x:c r="E425" s="19" t="str">
        <x:v>谁在推动算力狂飙？ETF压舱主动基金极致“抱团”</x:v>
      </x:c>
      <x:c r="F425" s="19"/>
      <x:c r="G425" s="19"/>
      <x:c r="H425" s="19"/>
      <x:c r="I425" s="19" t="str">
        <x:v>2025-09-01</x:v>
      </x:c>
      <x:c r="J425" s="19" t="str">
        <x:v>https://www.p5w.net/roll/fund/202509/t20250901_6392985.htm</x:v>
      </x:c>
      <x:c r="K425" s="19" t="str">
        <x:v>https://www.p5w.net/roll/fund/202509/t20250901_6392985.htm</x:v>
      </x:c>
      <x:c r="L425" s="19"/>
      <x:c r="M425" s="19"/>
      <x:c r="N425" s="19"/>
      <x:c r="O425" s="19" t="str">
        <x:v>candidate-only</x:v>
      </x:c>
      <x:c r="P425" s="33" t="b">
        <x:v>0</x:v>
      </x:c>
      <x:c r="Q425" s="19" t="n">
        <x:v>1</x:v>
      </x:c>
      <x:c r="R425" s="19" t="str">
        <x:v>conditional-local-file-unavailable</x:v>
      </x:c>
    </x:row>
    <x:row r="426" ht="15" hidden="0" customHeight="1">
      <x:c r="A426" s="19" t="str">
        <x:v>R01–R04审计</x:v>
      </x:c>
      <x:c r="B426" s="19" t="str">
        <x:v>media-candidate-cambricon-a9113f0a657c</x:v>
      </x:c>
      <x:c r="C426" s="19" t="str">
        <x:v>寒武纪</x:v>
      </x:c>
      <x:c r="D426" s="19" t="str">
        <x:v>权威媒体候选</x:v>
      </x:c>
      <x:c r="E426" s="19" t="str">
        <x:v>破局低利率周期，招商银行的应对之道</x:v>
      </x:c>
      <x:c r="F426" s="19"/>
      <x:c r="G426" s="19"/>
      <x:c r="H426" s="19"/>
      <x:c r="I426" s="19" t="str">
        <x:v>2025-09-01</x:v>
      </x:c>
      <x:c r="J426" s="19" t="str">
        <x:v>https://www.p5w.net/roll/lanjinger/202509/t20250901_6392967.htm</x:v>
      </x:c>
      <x:c r="K426" s="19" t="str">
        <x:v>https://www.p5w.net/roll/lanjinger/202509/t20250901_6392967.htm</x:v>
      </x:c>
      <x:c r="L426" s="19"/>
      <x:c r="M426" s="19"/>
      <x:c r="N426" s="19"/>
      <x:c r="O426" s="19" t="str">
        <x:v>candidate-only</x:v>
      </x:c>
      <x:c r="P426" s="33" t="b">
        <x:v>0</x:v>
      </x:c>
      <x:c r="Q426" s="19" t="n">
        <x:v>1</x:v>
      </x:c>
      <x:c r="R426" s="19" t="str">
        <x:v>conditional-local-file-unavailable</x:v>
      </x:c>
    </x:row>
    <x:row r="427" ht="21.600000381469727" hidden="0" customHeight="1">
      <x:c r="A427" s="19" t="str">
        <x:v>R01–R04审计</x:v>
      </x:c>
      <x:c r="B427" s="19" t="str">
        <x:v>media-candidate-cambricon-478ad584299c</x:v>
      </x:c>
      <x:c r="C427" s="19" t="str">
        <x:v>寒武纪</x:v>
      </x:c>
      <x:c r="D427" s="19" t="str">
        <x:v>权威媒体候选</x:v>
      </x:c>
      <x:c r="E427" s="19" t="str">
        <x:v>创业板人工智能ETF华夏（159381）跌幅收窄至1.5%！资金盘中积极布局，盘中成交额快速突破1.88亿元</x:v>
      </x:c>
      <x:c r="F427" s="19"/>
      <x:c r="G427" s="19"/>
      <x:c r="H427" s="19"/>
      <x:c r="I427" s="19" t="str">
        <x:v>2025-08-29</x:v>
      </x:c>
      <x:c r="J427" s="19" t="str">
        <x:v>https://www.p5w.net/roll/zqzx/202508/t20250829_6392006.htm</x:v>
      </x:c>
      <x:c r="K427" s="19" t="str">
        <x:v>https://www.p5w.net/roll/zqzx/202508/t20250829_6392006.htm</x:v>
      </x:c>
      <x:c r="L427" s="19"/>
      <x:c r="M427" s="19"/>
      <x:c r="N427" s="19"/>
      <x:c r="O427" s="19" t="str">
        <x:v>candidate-only</x:v>
      </x:c>
      <x:c r="P427" s="33" t="b">
        <x:v>0</x:v>
      </x:c>
      <x:c r="Q427" s="19" t="n">
        <x:v>1</x:v>
      </x:c>
      <x:c r="R427" s="19" t="str">
        <x:v>conditional-local-file-unavailable</x:v>
      </x:c>
    </x:row>
    <x:row r="428" ht="15" hidden="0" customHeight="1">
      <x:c r="A428" s="19" t="str">
        <x:v>R01–R04审计</x:v>
      </x:c>
      <x:c r="B428" s="19" t="str">
        <x:v>media-candidate-cambricon-b24ada713895</x:v>
      </x:c>
      <x:c r="C428" s="19" t="str">
        <x:v>寒武纪</x:v>
      </x:c>
      <x:c r="D428" s="19" t="str">
        <x:v>权威媒体候选</x:v>
      </x:c>
      <x:c r="E428" s="19" t="str">
        <x:v>8月29日证券之星早间消息汇总：事关城市高质量发展，中央重磅文件对外公布</x:v>
      </x:c>
      <x:c r="F428" s="19"/>
      <x:c r="G428" s="19"/>
      <x:c r="H428" s="19"/>
      <x:c r="I428" s="19" t="str">
        <x:v>2025-08-29</x:v>
      </x:c>
      <x:c r="J428" s="19" t="str">
        <x:v>https://www.p5w.net/roll/zqzx/202508/t20250829_6391920.htm</x:v>
      </x:c>
      <x:c r="K428" s="19" t="str">
        <x:v>https://www.p5w.net/roll/zqzx/202508/t20250829_6391920.htm</x:v>
      </x:c>
      <x:c r="L428" s="19"/>
      <x:c r="M428" s="19"/>
      <x:c r="N428" s="19"/>
      <x:c r="O428" s="19" t="str">
        <x:v>candidate-only</x:v>
      </x:c>
      <x:c r="P428" s="33" t="b">
        <x:v>0</x:v>
      </x:c>
      <x:c r="Q428" s="19" t="n">
        <x:v>1</x:v>
      </x:c>
      <x:c r="R428" s="19" t="str">
        <x:v>conditional-local-file-unavailable</x:v>
      </x:c>
    </x:row>
    <x:row r="429" ht="15" hidden="0" customHeight="1">
      <x:c r="A429" s="19" t="str">
        <x:v>R01–R04审计</x:v>
      </x:c>
      <x:c r="B429" s="19" t="str">
        <x:v>media-candidate-cambricon-b020d7377a60</x:v>
      </x:c>
      <x:c r="C429" s="19" t="str">
        <x:v>寒武纪</x:v>
      </x:c>
      <x:c r="D429" s="19" t="str">
        <x:v>权威媒体候选</x:v>
      </x:c>
      <x:c r="E429" s="19" t="str">
        <x:v>地平线机器人业绩喜忧参半？我看到的更多是喜</x:v>
      </x:c>
      <x:c r="F429" s="19"/>
      <x:c r="G429" s="19"/>
      <x:c r="H429" s="19"/>
      <x:c r="I429" s="19" t="str">
        <x:v>2025-08-28</x:v>
      </x:c>
      <x:c r="J429" s="19" t="str">
        <x:v>https://www.p5w.net/roll/pcj/202508/t20250828_6390892.htm</x:v>
      </x:c>
      <x:c r="K429" s="19" t="str">
        <x:v>https://www.p5w.net/roll/pcj/202508/t20250828_6390892.htm</x:v>
      </x:c>
      <x:c r="L429" s="19"/>
      <x:c r="M429" s="19"/>
      <x:c r="N429" s="19"/>
      <x:c r="O429" s="19" t="str">
        <x:v>candidate-only</x:v>
      </x:c>
      <x:c r="P429" s="33" t="b">
        <x:v>0</x:v>
      </x:c>
      <x:c r="Q429" s="19" t="n">
        <x:v>1</x:v>
      </x:c>
      <x:c r="R429" s="19" t="str">
        <x:v>conditional-local-file-unavailable</x:v>
      </x:c>
    </x:row>
    <x:row r="430" ht="15" hidden="0" customHeight="1">
      <x:c r="A430" s="19" t="str">
        <x:v>R01–R04审计</x:v>
      </x:c>
      <x:c r="B430" s="19" t="str">
        <x:v>media-candidate-cambricon-6c0c8a473816</x:v>
      </x:c>
      <x:c r="C430" s="19" t="str">
        <x:v>寒武纪</x:v>
      </x:c>
      <x:c r="D430" s="19" t="str">
        <x:v>权威媒体候选</x:v>
      </x:c>
      <x:c r="E430" s="19" t="str">
        <x:v>两融余额突破2.2万亿 31只绩优低估值股获加仓</x:v>
      </x:c>
      <x:c r="F430" s="19"/>
      <x:c r="G430" s="19"/>
      <x:c r="H430" s="19"/>
      <x:c r="I430" s="19" t="str">
        <x:v>2025-08-28</x:v>
      </x:c>
      <x:c r="J430" s="19" t="str">
        <x:v>https://www.p5w.net/roll/stock/202508/t20250828_6390856.htm</x:v>
      </x:c>
      <x:c r="K430" s="19" t="str">
        <x:v>https://www.p5w.net/roll/stock/202508/t20250828_6390856.htm</x:v>
      </x:c>
      <x:c r="L430" s="19"/>
      <x:c r="M430" s="19"/>
      <x:c r="N430" s="19"/>
      <x:c r="O430" s="19" t="str">
        <x:v>candidate-only</x:v>
      </x:c>
      <x:c r="P430" s="33" t="b">
        <x:v>0</x:v>
      </x:c>
      <x:c r="Q430" s="19" t="n">
        <x:v>1</x:v>
      </x:c>
      <x:c r="R430" s="19" t="str">
        <x:v>conditional-local-file-unavailable</x:v>
      </x:c>
    </x:row>
    <x:row r="431" ht="15" hidden="0" customHeight="1">
      <x:c r="A431" s="19" t="str">
        <x:v>R01–R04审计</x:v>
      </x:c>
      <x:c r="B431" s="19" t="str">
        <x:v>media-candidate-cambricon-e06e0b2c7998</x:v>
      </x:c>
      <x:c r="C431" s="19" t="str">
        <x:v>寒武纪</x:v>
      </x:c>
      <x:c r="D431" s="19" t="str">
        <x:v>权威媒体候选</x:v>
      </x:c>
      <x:c r="E431" s="19" t="str">
        <x:v>算力板块获利回调 基金看好后市向“人工智能+”扩散</x:v>
      </x:c>
      <x:c r="F431" s="19"/>
      <x:c r="G431" s="19"/>
      <x:c r="H431" s="19"/>
      <x:c r="I431" s="19" t="str">
        <x:v>2025-08-28</x:v>
      </x:c>
      <x:c r="J431" s="19" t="str">
        <x:v>https://www.p5w.net/roll/fund/202508/t20250828_6390837.htm</x:v>
      </x:c>
      <x:c r="K431" s="19" t="str">
        <x:v>https://www.p5w.net/roll/fund/202508/t20250828_6390837.htm</x:v>
      </x:c>
      <x:c r="L431" s="19"/>
      <x:c r="M431" s="19"/>
      <x:c r="N431" s="19"/>
      <x:c r="O431" s="19" t="str">
        <x:v>candidate-only</x:v>
      </x:c>
      <x:c r="P431" s="33" t="b">
        <x:v>0</x:v>
      </x:c>
      <x:c r="Q431" s="19" t="n">
        <x:v>1</x:v>
      </x:c>
      <x:c r="R431" s="19" t="str">
        <x:v>conditional-local-file-unavailable</x:v>
      </x:c>
    </x:row>
    <x:row r="432" ht="15" hidden="0" customHeight="1">
      <x:c r="A432" s="19" t="str">
        <x:v>R01–R04审计</x:v>
      </x:c>
      <x:c r="B432" s="19" t="str">
        <x:v>media-candidate-cambricon-a57f5034cb02</x:v>
      </x:c>
      <x:c r="C432" s="19" t="str">
        <x:v>寒武纪</x:v>
      </x:c>
      <x:c r="D432" s="19" t="str">
        <x:v>权威媒体候选</x:v>
      </x:c>
      <x:c r="E432" s="19" t="str">
        <x:v>南昌首富，财富暴涨1500亿元</x:v>
      </x:c>
      <x:c r="F432" s="19"/>
      <x:c r="G432" s="19"/>
      <x:c r="H432" s="19"/>
      <x:c r="I432" s="19" t="str">
        <x:v>2025-08-27</x:v>
      </x:c>
      <x:c r="J432" s="19" t="str">
        <x:v>https://www.p5w.net/roll/pcj/202508/t20250827_6390099.htm</x:v>
      </x:c>
      <x:c r="K432" s="19" t="str">
        <x:v>https://www.p5w.net/roll/pcj/202508/t20250827_6390099.htm</x:v>
      </x:c>
      <x:c r="L432" s="19"/>
      <x:c r="M432" s="19"/>
      <x:c r="N432" s="19"/>
      <x:c r="O432" s="19" t="str">
        <x:v>candidate-only</x:v>
      </x:c>
      <x:c r="P432" s="33" t="b">
        <x:v>0</x:v>
      </x:c>
      <x:c r="Q432" s="19" t="n">
        <x:v>1</x:v>
      </x:c>
      <x:c r="R432" s="19" t="str">
        <x:v>conditional-local-file-unavailable</x:v>
      </x:c>
    </x:row>
    <x:row r="433" ht="21.600000381469727" hidden="0" customHeight="1">
      <x:c r="A433" s="19" t="str">
        <x:v>R01–R04审计</x:v>
      </x:c>
      <x:c r="B433" s="19" t="str">
        <x:v>media-cambricon-7d5554ae93c9</x:v>
      </x:c>
      <x:c r="C433" s="19" t="str">
        <x:v>寒武纪</x:v>
      </x:c>
      <x:c r="D433" s="19" t="str">
        <x:v>权威媒体</x:v>
      </x:c>
      <x:c r="E433" s="19" t="str">
        <x:v>人均账面价值超550万元 寒武纪124名员工获激励大礼包</x:v>
      </x:c>
      <x:c r="F433" s="19" t="str">
        <x:v>证券时报</x:v>
      </x:c>
      <x:c r="G433" s="19" t="str">
        <x:v>证券时报</x:v>
      </x:c>
      <x:c r="H433" s="19" t="str">
        <x:v>张一帆</x:v>
      </x:c>
      <x:c r="I433" s="19" t="str">
        <x:v>2026-08-18</x:v>
      </x:c>
      <x:c r="J433" s="19" t="str">
        <x:v>https://www.p5w.net/roll/company/202608/t20260818_6494355.htm</x:v>
      </x:c>
      <x:c r="K433" s="19" t="str">
        <x:v>https://www.p5w.net/roll/company/202608/t20260818_6494355.htm</x:v>
      </x:c>
      <x:c r="L433" s="19" t="str">
        <x:v>data/derived/narrative-risk-r01-r04-20260826/evidence/media-fulltext/cambricon/media-cambricon-7d5554ae93c9.txt</x:v>
      </x:c>
      <x:c r="M433" s="19" t="str">
        <x:v>3a6447368d8468ae080837dd41f01d15e78ea3dba8fafdd5297bf12ed733d330</x:v>
      </x:c>
      <x:c r="N433" s="19" t="n">
        <x:v>319</x:v>
      </x:c>
      <x:c r="O433" s="19" t="str">
        <x:v>third-party-fulltext</x:v>
      </x:c>
      <x:c r="P433" s="33" t="b">
        <x:v>1</x:v>
      </x:c>
      <x:c r="Q433" s="19" t="n">
        <x:v>1</x:v>
      </x:c>
      <x:c r="R433" s="19" t="str">
        <x:v>conditional-local-file-unavailable</x:v>
      </x:c>
    </x:row>
    <x:row r="434" ht="21.600000381469727" hidden="0" customHeight="1">
      <x:c r="A434" s="19" t="str">
        <x:v>R01–R04审计</x:v>
      </x:c>
      <x:c r="B434" s="19" t="str">
        <x:v>media-cambricon-4ed3539ab9d9</x:v>
      </x:c>
      <x:c r="C434" s="19" t="str">
        <x:v>寒武纪</x:v>
      </x:c>
      <x:c r="D434" s="19" t="str">
        <x:v>权威媒体</x:v>
      </x:c>
      <x:c r="E434" s="19" t="str">
        <x:v>深耕算力筑基开源生态 寒武纪赋能人工智能产业高质量发展</x:v>
      </x:c>
      <x:c r="F434" s="19" t="str">
        <x:v>互联网</x:v>
      </x:c>
      <x:c r="G434" s="19" t="str">
        <x:v>互联网</x:v>
      </x:c>
      <x:c r="H434" s="19"/>
      <x:c r="I434" s="19" t="str">
        <x:v>2026-08-11</x:v>
      </x:c>
      <x:c r="J434" s="19" t="str">
        <x:v>https://www.p5w.net/roll/finance/202608/t20260811_6492745.htm</x:v>
      </x:c>
      <x:c r="K434" s="19" t="str">
        <x:v>https://www.p5w.net/roll/finance/202608/t20260811_6492745.htm</x:v>
      </x:c>
      <x:c r="L434" s="19" t="str">
        <x:v>data/derived/narrative-risk-r01-r04-20260826/evidence/media-fulltext/cambricon/media-cambricon-4ed3539ab9d9.txt</x:v>
      </x:c>
      <x:c r="M434" s="19" t="str">
        <x:v>26e1c07dda5ca1a4104535774a2c610568e1697617eb900e97e0d46b4b192fcd</x:v>
      </x:c>
      <x:c r="N434" s="19" t="n">
        <x:v>361</x:v>
      </x:c>
      <x:c r="O434" s="19" t="str">
        <x:v>candidate-only</x:v>
      </x:c>
      <x:c r="P434" s="33" t="b">
        <x:v>0</x:v>
      </x:c>
      <x:c r="Q434" s="19" t="n">
        <x:v>1</x:v>
      </x:c>
      <x:c r="R434" s="19" t="str">
        <x:v>conditional-local-file-unavailable</x:v>
      </x:c>
    </x:row>
    <x:row r="435" ht="21.600000381469727" hidden="0" customHeight="1">
      <x:c r="A435" s="19" t="str">
        <x:v>R01–R04审计</x:v>
      </x:c>
      <x:c r="B435" s="19" t="str">
        <x:v>media-cambricon-36e90fd662fb</x:v>
      </x:c>
      <x:c r="C435" s="19" t="str">
        <x:v>寒武纪</x:v>
      </x:c>
      <x:c r="D435" s="19" t="str">
        <x:v>权威媒体</x:v>
      </x:c>
      <x:c r="E435" s="19" t="str">
        <x:v>图解寒武纪中报：第二季度单季净利润同比增长90.11%</x:v>
      </x:c>
      <x:c r="F435" s="19" t="str">
        <x:v>证券之星</x:v>
      </x:c>
      <x:c r="G435" s="19" t="str">
        <x:v>证券之星</x:v>
      </x:c>
      <x:c r="H435" s="19"/>
      <x:c r="I435" s="19" t="str">
        <x:v>2026-08-08</x:v>
      </x:c>
      <x:c r="J435" s="19" t="str">
        <x:v>https://www.p5w.net/roll/zqzx/202608/t20260808_6492086.htm</x:v>
      </x:c>
      <x:c r="K435" s="19" t="str">
        <x:v>https://www.p5w.net/roll/zqzx/202608/t20260808_6492086.htm</x:v>
      </x:c>
      <x:c r="L435" s="19" t="str">
        <x:v>data/derived/narrative-risk-r01-r04-20260826/evidence/media-fulltext/cambricon/media-cambricon-36e90fd662fb.txt</x:v>
      </x:c>
      <x:c r="M435" s="19" t="str">
        <x:v>f4b2efc8dcac2020eec697b609c4386af883b085be7b0f6fa4fddefa2739a1af</x:v>
      </x:c>
      <x:c r="N435" s="19" t="n">
        <x:v>71</x:v>
      </x:c>
      <x:c r="O435" s="19" t="str">
        <x:v>candidate-only</x:v>
      </x:c>
      <x:c r="P435" s="33" t="b">
        <x:v>0</x:v>
      </x:c>
      <x:c r="Q435" s="19" t="n">
        <x:v>1</x:v>
      </x:c>
      <x:c r="R435" s="19" t="str">
        <x:v>conditional-local-file-unavailable</x:v>
      </x:c>
    </x:row>
    <x:row r="436" ht="21.600000381469727" hidden="0" customHeight="1">
      <x:c r="A436" s="19" t="str">
        <x:v>R01–R04审计</x:v>
      </x:c>
      <x:c r="B436" s="19" t="str">
        <x:v>media-cambricon-a728dbd3d2b1</x:v>
      </x:c>
      <x:c r="C436" s="19" t="str">
        <x:v>寒武纪</x:v>
      </x:c>
      <x:c r="D436" s="19" t="str">
        <x:v>权威媒体</x:v>
      </x:c>
      <x:c r="E436" s="19" t="str">
        <x:v>软硬协同构筑核心实力 寒武纪入选2026福布斯中国AI科技企业TOP50</x:v>
      </x:c>
      <x:c r="F436" s="19" t="str">
        <x:v>比特网</x:v>
      </x:c>
      <x:c r="G436" s="19" t="str">
        <x:v>比特网</x:v>
      </x:c>
      <x:c r="H436" s="19"/>
      <x:c r="I436" s="19" t="str">
        <x:v>2026-07-21</x:v>
      </x:c>
      <x:c r="J436" s="19" t="str">
        <x:v>https://www.p5w.net/roll/finance/202607/t20260721_6487367.htm</x:v>
      </x:c>
      <x:c r="K436" s="19" t="str">
        <x:v>https://www.p5w.net/roll/finance/202607/t20260721_6487367.htm</x:v>
      </x:c>
      <x:c r="L436" s="19" t="str">
        <x:v>data/derived/narrative-risk-r01-r04-20260826/evidence/media-fulltext/cambricon/media-cambricon-a728dbd3d2b1.txt</x:v>
      </x:c>
      <x:c r="M436" s="19" t="str">
        <x:v>ea7e99d9ec2f32ec3fa87593ca641edfe585a226522c13834fd9db872f1171ca</x:v>
      </x:c>
      <x:c r="N436" s="19" t="n">
        <x:v>408</x:v>
      </x:c>
      <x:c r="O436" s="19" t="str">
        <x:v>candidate-only</x:v>
      </x:c>
      <x:c r="P436" s="33" t="b">
        <x:v>0</x:v>
      </x:c>
      <x:c r="Q436" s="19" t="n">
        <x:v>1</x:v>
      </x:c>
      <x:c r="R436" s="19" t="str">
        <x:v>conditional-local-file-unavailable</x:v>
      </x:c>
    </x:row>
    <x:row r="437" ht="21.600000381469727" hidden="0" customHeight="1">
      <x:c r="A437" s="19" t="str">
        <x:v>R01–R04审计</x:v>
      </x:c>
      <x:c r="B437" s="19" t="str">
        <x:v>media-cambricon-e016dec17ab3</x:v>
      </x:c>
      <x:c r="C437" s="19" t="str">
        <x:v>寒武纪</x:v>
      </x:c>
      <x:c r="D437" s="19" t="str">
        <x:v>权威媒体</x:v>
      </x:c>
      <x:c r="E437" s="19" t="str">
        <x:v>易方达科创50ETF：寒武纪万亿市值里程碑引领硬科技配置主线</x:v>
      </x:c>
      <x:c r="F437" s="19" t="str">
        <x:v>泡财经</x:v>
      </x:c>
      <x:c r="G437" s="19" t="str">
        <x:v>泡财经</x:v>
      </x:c>
      <x:c r="H437" s="19"/>
      <x:c r="I437" s="19" t="str">
        <x:v>2026-06-30</x:v>
      </x:c>
      <x:c r="J437" s="19" t="str">
        <x:v>https://www.p5w.net/roll/pcj/202606/t20260630_6482522.htm</x:v>
      </x:c>
      <x:c r="K437" s="19" t="str">
        <x:v>https://www.p5w.net/roll/pcj/202606/t20260630_6482522.htm</x:v>
      </x:c>
      <x:c r="L437" s="19" t="str">
        <x:v>data/derived/narrative-risk-r01-r04-20260826/evidence/media-fulltext/cambricon/media-cambricon-e016dec17ab3.txt</x:v>
      </x:c>
      <x:c r="M437" s="19" t="str">
        <x:v>4066c701cbd7db92c63fc32c3e7d46c7611fa4f1b70ba13a1000a9f7c596f16b</x:v>
      </x:c>
      <x:c r="N437" s="19" t="n">
        <x:v>273</x:v>
      </x:c>
      <x:c r="O437" s="19" t="str">
        <x:v>candidate-only</x:v>
      </x:c>
      <x:c r="P437" s="33" t="b">
        <x:v>0</x:v>
      </x:c>
      <x:c r="Q437" s="19" t="n">
        <x:v>1</x:v>
      </x:c>
      <x:c r="R437" s="19" t="str">
        <x:v>conditional-local-file-unavailable</x:v>
      </x:c>
    </x:row>
    <x:row r="438" ht="21.600000381469727" hidden="0" customHeight="1">
      <x:c r="A438" s="19" t="str">
        <x:v>R01–R04审计</x:v>
      </x:c>
      <x:c r="B438" s="19" t="str">
        <x:v>media-cambricon-d060cf3ab2b4</x:v>
      </x:c>
      <x:c r="C438" s="19" t="str">
        <x:v>寒武纪</x:v>
      </x:c>
      <x:c r="D438" s="19" t="str">
        <x:v>权威媒体</x:v>
      </x:c>
      <x:c r="E438" s="19" t="str">
        <x:v>斩获多项权威榜单认可 寒武纪构建云边端完整算力布局</x:v>
      </x:c>
      <x:c r="F438" s="19" t="str">
        <x:v>信阳新闻网</x:v>
      </x:c>
      <x:c r="G438" s="19" t="str">
        <x:v>信阳新闻网</x:v>
      </x:c>
      <x:c r="H438" s="19"/>
      <x:c r="I438" s="19" t="str">
        <x:v>2026-06-30</x:v>
      </x:c>
      <x:c r="J438" s="19" t="str">
        <x:v>https://www.p5w.net/roll/finance/202606/t20260630_6482516.htm</x:v>
      </x:c>
      <x:c r="K438" s="19" t="str">
        <x:v>https://www.p5w.net/roll/finance/202606/t20260630_6482516.htm</x:v>
      </x:c>
      <x:c r="L438" s="19" t="str">
        <x:v>data/derived/narrative-risk-r01-r04-20260826/evidence/media-fulltext/cambricon/media-cambricon-d060cf3ab2b4.txt</x:v>
      </x:c>
      <x:c r="M438" s="19" t="str">
        <x:v>860ee872f5a70eae5b91d5d1af7545e09e9601fcaa1fc81540d4b90094876cb3</x:v>
      </x:c>
      <x:c r="N438" s="19" t="n">
        <x:v>338</x:v>
      </x:c>
      <x:c r="O438" s="19" t="str">
        <x:v>candidate-only</x:v>
      </x:c>
      <x:c r="P438" s="33" t="b">
        <x:v>0</x:v>
      </x:c>
      <x:c r="Q438" s="19" t="n">
        <x:v>1</x:v>
      </x:c>
      <x:c r="R438" s="19" t="str">
        <x:v>conditional-local-file-unavailable</x:v>
      </x:c>
    </x:row>
    <x:row r="439" ht="21.600000381469727" hidden="0" customHeight="1">
      <x:c r="A439" s="19" t="str">
        <x:v>R01–R04审计</x:v>
      </x:c>
      <x:c r="B439" s="19" t="str">
        <x:v>media-cambricon-b6782389f153</x:v>
      </x:c>
      <x:c r="C439" s="19" t="str">
        <x:v>寒武纪</x:v>
      </x:c>
      <x:c r="D439" s="19" t="str">
        <x:v>权威媒体</x:v>
      </x:c>
      <x:c r="E439" s="19" t="str">
        <x:v>科创板第五套标准扩容至AI！沪深300ETF华夏（510330）持仓股寒武纪、芯原股份、海光信息股价大涨</x:v>
      </x:c>
      <x:c r="F439" s="19" t="str">
        <x:v>证券之星</x:v>
      </x:c>
      <x:c r="G439" s="19" t="str">
        <x:v>证券之星</x:v>
      </x:c>
      <x:c r="H439" s="19"/>
      <x:c r="I439" s="19" t="str">
        <x:v>2026-06-18</x:v>
      </x:c>
      <x:c r="J439" s="19" t="str">
        <x:v>https://www.p5w.net/roll/zqzx/202606/t20260618_6480077.htm</x:v>
      </x:c>
      <x:c r="K439" s="19" t="str">
        <x:v>https://www.p5w.net/roll/zqzx/202606/t20260618_6480077.htm</x:v>
      </x:c>
      <x:c r="L439" s="19" t="str">
        <x:v>data/derived/narrative-risk-r01-r04-20260826/evidence/media-fulltext/cambricon/media-cambricon-b6782389f153.txt</x:v>
      </x:c>
      <x:c r="M439" s="19" t="str">
        <x:v>ef050521a73ff7662c5c322f3c172f48c20e90165538676f3bbff76a65877b04</x:v>
      </x:c>
      <x:c r="N439" s="19" t="n">
        <x:v>250</x:v>
      </x:c>
      <x:c r="O439" s="19" t="str">
        <x:v>candidate-only</x:v>
      </x:c>
      <x:c r="P439" s="33" t="b">
        <x:v>0</x:v>
      </x:c>
      <x:c r="Q439" s="19" t="n">
        <x:v>1</x:v>
      </x:c>
      <x:c r="R439" s="19" t="str">
        <x:v>conditional-local-file-unavailable</x:v>
      </x:c>
    </x:row>
    <x:row r="440" ht="21.600000381469727" hidden="0" customHeight="1">
      <x:c r="A440" s="19" t="str">
        <x:v>R01–R04审计</x:v>
      </x:c>
      <x:c r="B440" s="19" t="str">
        <x:v>media-cambricon-6fb3f65bcb74</x:v>
      </x:c>
      <x:c r="C440" s="19" t="str">
        <x:v>寒武纪</x:v>
      </x:c>
      <x:c r="D440" s="19" t="str">
        <x:v>权威媒体</x:v>
      </x:c>
      <x:c r="E440" s="19" t="str">
        <x:v>大模型驱动算力需求扩容 寒武纪产品落地多行业</x:v>
      </x:c>
      <x:c r="F440" s="19" t="str">
        <x:v>周口网</x:v>
      </x:c>
      <x:c r="G440" s="19" t="str">
        <x:v>周口网</x:v>
      </x:c>
      <x:c r="H440" s="19"/>
      <x:c r="I440" s="19" t="str">
        <x:v>2026-06-12</x:v>
      </x:c>
      <x:c r="J440" s="19" t="str">
        <x:v>https://www.p5w.net/roll/finance/202606/t20260612_6478712.htm</x:v>
      </x:c>
      <x:c r="K440" s="19" t="str">
        <x:v>https://www.p5w.net/roll/finance/202606/t20260612_6478712.htm</x:v>
      </x:c>
      <x:c r="L440" s="19" t="str">
        <x:v>data/derived/narrative-risk-r01-r04-20260826/evidence/media-fulltext/cambricon/media-cambricon-6fb3f65bcb74.txt</x:v>
      </x:c>
      <x:c r="M440" s="19" t="str">
        <x:v>76bebd5c97b60bd190409495ca18f52fdd6b4d79445256fc2d6db9f7652a4199</x:v>
      </x:c>
      <x:c r="N440" s="19" t="n">
        <x:v>301</x:v>
      </x:c>
      <x:c r="O440" s="19" t="str">
        <x:v>candidate-only</x:v>
      </x:c>
      <x:c r="P440" s="33" t="b">
        <x:v>0</x:v>
      </x:c>
      <x:c r="Q440" s="19" t="n">
        <x:v>1</x:v>
      </x:c>
      <x:c r="R440" s="19" t="str">
        <x:v>conditional-local-file-unavailable</x:v>
      </x:c>
    </x:row>
    <x:row r="441" ht="21.600000381469727" hidden="0" customHeight="1">
      <x:c r="A441" s="19" t="str">
        <x:v>R01–R04审计</x:v>
      </x:c>
      <x:c r="B441" s="19" t="str">
        <x:v>media-cambricon-26cd53fb8bfd</x:v>
      </x:c>
      <x:c r="C441" s="19" t="str">
        <x:v>寒武纪</x:v>
      </x:c>
      <x:c r="D441" s="19" t="str">
        <x:v>权威媒体</x:v>
      </x:c>
      <x:c r="E441" s="19" t="str">
        <x:v>寒武纪，大举囤货45亿！</x:v>
      </x:c>
      <x:c r="F441" s="19" t="str">
        <x:v>泡财经</x:v>
      </x:c>
      <x:c r="G441" s="19" t="str">
        <x:v>泡财经</x:v>
      </x:c>
      <x:c r="H441" s="19"/>
      <x:c r="I441" s="19" t="str">
        <x:v>2026-05-07</x:v>
      </x:c>
      <x:c r="J441" s="19" t="str">
        <x:v>https://www.p5w.net/roll/pcj/202605/t20260507_6470150.htm</x:v>
      </x:c>
      <x:c r="K441" s="19" t="str">
        <x:v>https://www.p5w.net/roll/pcj/202605/t20260507_6470150.htm</x:v>
      </x:c>
      <x:c r="L441" s="19" t="str">
        <x:v>data/derived/narrative-risk-r01-r04-20260826/evidence/media-fulltext/cambricon/media-cambricon-26cd53fb8bfd.txt</x:v>
      </x:c>
      <x:c r="M441" s="19" t="str">
        <x:v>671cfb1ff193a7cf086c8a96cbcabd330427505168f4dbb7660f9b964c9dd799</x:v>
      </x:c>
      <x:c r="N441" s="19" t="n">
        <x:v>684</x:v>
      </x:c>
      <x:c r="O441" s="19" t="str">
        <x:v>candidate-only</x:v>
      </x:c>
      <x:c r="P441" s="33" t="b">
        <x:v>0</x:v>
      </x:c>
      <x:c r="Q441" s="19" t="n">
        <x:v>1</x:v>
      </x:c>
      <x:c r="R441" s="19" t="str">
        <x:v>conditional-local-file-unavailable</x:v>
      </x:c>
    </x:row>
    <x:row r="442" ht="21.600000381469727" hidden="0" customHeight="1">
      <x:c r="A442" s="19" t="str">
        <x:v>R01–R04审计</x:v>
      </x:c>
      <x:c r="B442" s="19" t="str">
        <x:v>media-cambricon-7e3eace46725</x:v>
      </x:c>
      <x:c r="C442" s="19" t="str">
        <x:v>寒武纪</x:v>
      </x:c>
      <x:c r="D442" s="19" t="str">
        <x:v>权威媒体</x:v>
      </x:c>
      <x:c r="E442" s="19" t="str">
        <x:v>科创50指数持续走强，寒武纪上涨超14%突破1900元大关</x:v>
      </x:c>
      <x:c r="F442" s="19" t="str">
        <x:v>证券之星</x:v>
      </x:c>
      <x:c r="G442" s="19" t="str">
        <x:v>证券之星</x:v>
      </x:c>
      <x:c r="H442" s="19"/>
      <x:c r="I442" s="19" t="str">
        <x:v>2026-05-06</x:v>
      </x:c>
      <x:c r="J442" s="19" t="str">
        <x:v>https://www.p5w.net/roll/zqzx/202605/t20260506_6469628.htm</x:v>
      </x:c>
      <x:c r="K442" s="19" t="str">
        <x:v>https://www.p5w.net/roll/zqzx/202605/t20260506_6469628.htm</x:v>
      </x:c>
      <x:c r="L442" s="19" t="str">
        <x:v>data/derived/narrative-risk-r01-r04-20260826/evidence/media-fulltext/cambricon/media-cambricon-7e3eace46725.txt</x:v>
      </x:c>
      <x:c r="M442" s="19" t="str">
        <x:v>3da108c9a3820b48510646ce99d6554bfe22b8666b9ec19ba37ceedc5f97a794</x:v>
      </x:c>
      <x:c r="N442" s="19" t="n">
        <x:v>250</x:v>
      </x:c>
      <x:c r="O442" s="19" t="str">
        <x:v>candidate-only</x:v>
      </x:c>
      <x:c r="P442" s="33" t="b">
        <x:v>0</x:v>
      </x:c>
      <x:c r="Q442" s="19" t="n">
        <x:v>1</x:v>
      </x:c>
      <x:c r="R442" s="19" t="str">
        <x:v>conditional-local-file-unavailable</x:v>
      </x:c>
    </x:row>
    <x:row r="443" ht="21.600000381469727" hidden="0" customHeight="1">
      <x:c r="A443" s="19" t="str">
        <x:v>R01–R04审计</x:v>
      </x:c>
      <x:c r="B443" s="19" t="str">
        <x:v>media-cambricon-2737eed7e414</x:v>
      </x:c>
      <x:c r="C443" s="19" t="str">
        <x:v>寒武纪</x:v>
      </x:c>
      <x:c r="D443" s="19" t="str">
        <x:v>权威媒体</x:v>
      </x:c>
      <x:c r="E443" s="19" t="str">
        <x:v>寒武纪触及涨停 成交额近260亿</x:v>
      </x:c>
      <x:c r="F443" s="19" t="str">
        <x:v>证券之星</x:v>
      </x:c>
      <x:c r="G443" s="19" t="str">
        <x:v>证券之星</x:v>
      </x:c>
      <x:c r="H443" s="19"/>
      <x:c r="I443" s="19" t="str">
        <x:v>2026-04-30</x:v>
      </x:c>
      <x:c r="J443" s="19" t="str">
        <x:v>https://www.p5w.net/roll/zqzx/202604/t20260430_6469053.htm</x:v>
      </x:c>
      <x:c r="K443" s="19" t="str">
        <x:v>https://www.p5w.net/roll/zqzx/202604/t20260430_6469053.htm</x:v>
      </x:c>
      <x:c r="L443" s="19" t="str">
        <x:v>data/derived/narrative-risk-r01-r04-20260826/evidence/media-fulltext/cambricon/media-cambricon-2737eed7e414.txt</x:v>
      </x:c>
      <x:c r="M443" s="19" t="str">
        <x:v>b2ece3ae14632799ec16bfa62a4e71c4f08506bd6a81386dc1a9402e0f830124</x:v>
      </x:c>
      <x:c r="N443" s="19" t="n">
        <x:v>205</x:v>
      </x:c>
      <x:c r="O443" s="19" t="str">
        <x:v>candidate-only</x:v>
      </x:c>
      <x:c r="P443" s="33" t="b">
        <x:v>0</x:v>
      </x:c>
      <x:c r="Q443" s="19" t="n">
        <x:v>1</x:v>
      </x:c>
      <x:c r="R443" s="19" t="str">
        <x:v>conditional-local-file-unavailable</x:v>
      </x:c>
    </x:row>
    <x:row r="444" ht="21.600000381469727" hidden="0" customHeight="1">
      <x:c r="A444" s="19" t="str">
        <x:v>R01–R04审计</x:v>
      </x:c>
      <x:c r="B444" s="19" t="str">
        <x:v>media-cambricon-81bdec94c4e3</x:v>
      </x:c>
      <x:c r="C444" s="19" t="str">
        <x:v>寒武纪</x:v>
      </x:c>
      <x:c r="D444" s="19" t="str">
        <x:v>权威媒体</x:v>
      </x:c>
      <x:c r="E444" s="19" t="str">
        <x:v>图解寒武纪一季报：第一季度单季净利润同比增长185.04%</x:v>
      </x:c>
      <x:c r="F444" s="19" t="str">
        <x:v>证券之星</x:v>
      </x:c>
      <x:c r="G444" s="19" t="str">
        <x:v>证券之星</x:v>
      </x:c>
      <x:c r="H444" s="19"/>
      <x:c r="I444" s="19" t="str">
        <x:v>2026-04-30</x:v>
      </x:c>
      <x:c r="J444" s="19" t="str">
        <x:v>https://www.p5w.net/roll/zqzx/202604/t20260430_6468572.htm</x:v>
      </x:c>
      <x:c r="K444" s="19" t="str">
        <x:v>https://www.p5w.net/roll/zqzx/202604/t20260430_6468572.htm</x:v>
      </x:c>
      <x:c r="L444" s="19" t="str">
        <x:v>data/derived/narrative-risk-r01-r04-20260826/evidence/media-fulltext/cambricon/media-cambricon-81bdec94c4e3.txt</x:v>
      </x:c>
      <x:c r="M444" s="19" t="str">
        <x:v>833f219b412f559696ff2df808de78503a67ad23a97fc161c36b3902abc8cc1c</x:v>
      </x:c>
      <x:c r="N444" s="19" t="n">
        <x:v>52</x:v>
      </x:c>
      <x:c r="O444" s="19" t="str">
        <x:v>candidate-only</x:v>
      </x:c>
      <x:c r="P444" s="33" t="b">
        <x:v>0</x:v>
      </x:c>
      <x:c r="Q444" s="19" t="n">
        <x:v>1</x:v>
      </x:c>
      <x:c r="R444" s="19" t="str">
        <x:v>conditional-local-file-unavailable</x:v>
      </x:c>
    </x:row>
    <x:row r="445" ht="21.600000381469727" hidden="0" customHeight="1">
      <x:c r="A445" s="19" t="str">
        <x:v>R01–R04审计</x:v>
      </x:c>
      <x:c r="B445" s="19" t="str">
        <x:v>media-cambricon-eafc4d77dfb8</x:v>
      </x:c>
      <x:c r="C445" s="19" t="str">
        <x:v>寒武纪</x:v>
      </x:c>
      <x:c r="D445" s="19" t="str">
        <x:v>权威媒体</x:v>
      </x:c>
      <x:c r="E445" s="19" t="str">
        <x:v>寒武纪对外投资20家公司</x:v>
      </x:c>
      <x:c r="F445" s="19" t="str">
        <x:v>天眼查</x:v>
      </x:c>
      <x:c r="G445" s="19" t="str">
        <x:v>天眼查</x:v>
      </x:c>
      <x:c r="H445" s="19"/>
      <x:c r="I445" s="19" t="str">
        <x:v>2026-04-30</x:v>
      </x:c>
      <x:c r="J445" s="19" t="str">
        <x:v>https://www.p5w.net/roll/tyc/202604/t20260430_6468992.htm</x:v>
      </x:c>
      <x:c r="K445" s="19" t="str">
        <x:v>https://www.p5w.net/roll/tyc/202604/t20260430_6468992.htm</x:v>
      </x:c>
      <x:c r="L445" s="19" t="str">
        <x:v>data/derived/narrative-risk-r01-r04-20260826/evidence/media-fulltext/cambricon/media-cambricon-eafc4d77dfb8.txt</x:v>
      </x:c>
      <x:c r="M445" s="19" t="str">
        <x:v>fe175342186f41f39a720bdced0b778a410c8770713a7a1f65e499b7b976d83d</x:v>
      </x:c>
      <x:c r="N445" s="19" t="n">
        <x:v>121</x:v>
      </x:c>
      <x:c r="O445" s="19" t="str">
        <x:v>candidate-only</x:v>
      </x:c>
      <x:c r="P445" s="33" t="b">
        <x:v>0</x:v>
      </x:c>
      <x:c r="Q445" s="19" t="n">
        <x:v>1</x:v>
      </x:c>
      <x:c r="R445" s="19" t="str">
        <x:v>conditional-local-file-unavailable</x:v>
      </x:c>
    </x:row>
    <x:row r="446" ht="21.600000381469727" hidden="0" customHeight="1">
      <x:c r="A446" s="19" t="str">
        <x:v>R01–R04审计</x:v>
      </x:c>
      <x:c r="B446" s="19" t="str">
        <x:v>media-cambricon-f2e5c26784b6</x:v>
      </x:c>
      <x:c r="C446" s="19" t="str">
        <x:v>寒武纪</x:v>
      </x:c>
      <x:c r="D446" s="19" t="str">
        <x:v>权威媒体</x:v>
      </x:c>
      <x:c r="E446" s="19" t="str">
        <x:v>紧跟开源生态发展 寒武纪助力客户降低开发与迁移成本</x:v>
      </x:c>
      <x:c r="F446" s="19" t="str">
        <x:v>周口网</x:v>
      </x:c>
      <x:c r="G446" s="19" t="str">
        <x:v>周口网</x:v>
      </x:c>
      <x:c r="H446" s="19"/>
      <x:c r="I446" s="19" t="str">
        <x:v>2026-04-22</x:v>
      </x:c>
      <x:c r="J446" s="19" t="str">
        <x:v>https://www.p5w.net/roll/finance/202604/t20260422_6456615.htm</x:v>
      </x:c>
      <x:c r="K446" s="19" t="str">
        <x:v>https://www.p5w.net/roll/finance/202604/t20260422_6456615.htm</x:v>
      </x:c>
      <x:c r="L446" s="19" t="str">
        <x:v>data/derived/narrative-risk-r01-r04-20260826/evidence/media-fulltext/cambricon/media-cambricon-f2e5c26784b6.txt</x:v>
      </x:c>
      <x:c r="M446" s="19" t="str">
        <x:v>3fb1348d9d6bbacb808b0870b71c2ca27135147f7c76706bd8dacda8e573df27</x:v>
      </x:c>
      <x:c r="N446" s="19" t="n">
        <x:v>615</x:v>
      </x:c>
      <x:c r="O446" s="19" t="str">
        <x:v>candidate-only</x:v>
      </x:c>
      <x:c r="P446" s="33" t="b">
        <x:v>0</x:v>
      </x:c>
      <x:c r="Q446" s="19" t="n">
        <x:v>1</x:v>
      </x:c>
      <x:c r="R446" s="19" t="str">
        <x:v>conditional-local-file-unavailable</x:v>
      </x:c>
    </x:row>
    <x:row r="447" ht="21.600000381469727" hidden="0" customHeight="1">
      <x:c r="A447" s="19" t="str">
        <x:v>R01–R04审计</x:v>
      </x:c>
      <x:c r="B447" s="19" t="str">
        <x:v>media-cambricon-3fd30ecdd99d</x:v>
      </x:c>
      <x:c r="C447" s="19" t="str">
        <x:v>寒武纪</x:v>
      </x:c>
      <x:c r="D447" s="19" t="str">
        <x:v>权威媒体</x:v>
      </x:c>
      <x:c r="E447" s="19" t="str">
        <x:v>图解寒武纪年报：第四季度单季净利润同比增长67.03%</x:v>
      </x:c>
      <x:c r="F447" s="19" t="str">
        <x:v>证券之星</x:v>
      </x:c>
      <x:c r="G447" s="19" t="str">
        <x:v>证券之星</x:v>
      </x:c>
      <x:c r="H447" s="19"/>
      <x:c r="I447" s="19" t="str">
        <x:v>2026-03-13</x:v>
      </x:c>
      <x:c r="J447" s="19" t="str">
        <x:v>https://www.p5w.net/roll/zqzx/202603/t20260313_6442189.htm</x:v>
      </x:c>
      <x:c r="K447" s="19" t="str">
        <x:v>https://www.p5w.net/roll/zqzx/202603/t20260313_6442189.htm</x:v>
      </x:c>
      <x:c r="L447" s="19" t="str">
        <x:v>data/derived/narrative-risk-r01-r04-20260826/evidence/media-fulltext/cambricon/media-cambricon-3fd30ecdd99d.txt</x:v>
      </x:c>
      <x:c r="M447" s="19" t="str">
        <x:v>f5e684f7a65dc43fce39f65f0d47e7cb4299941de6e42c06726cc87b7b97655a</x:v>
      </x:c>
      <x:c r="N447" s="19" t="n">
        <x:v>74</x:v>
      </x:c>
      <x:c r="O447" s="19" t="str">
        <x:v>candidate-only</x:v>
      </x:c>
      <x:c r="P447" s="33" t="b">
        <x:v>0</x:v>
      </x:c>
      <x:c r="Q447" s="19" t="n">
        <x:v>1</x:v>
      </x:c>
      <x:c r="R447" s="19" t="str">
        <x:v>conditional-local-file-unavailable</x:v>
      </x:c>
    </x:row>
    <x:row r="448" ht="21.600000381469727" hidden="0" customHeight="1">
      <x:c r="A448" s="19" t="str">
        <x:v>R01–R04审计</x:v>
      </x:c>
      <x:c r="B448" s="19" t="str">
        <x:v>media-cambricon-c2ba74cb7937</x:v>
      </x:c>
      <x:c r="C448" s="19" t="str">
        <x:v>寒武纪</x:v>
      </x:c>
      <x:c r="D448" s="19" t="str">
        <x:v>权威媒体</x:v>
      </x:c>
      <x:c r="E448" s="19" t="str">
        <x:v>寒武纪去年多次增资</x:v>
      </x:c>
      <x:c r="F448" s="19" t="str">
        <x:v>天眼查</x:v>
      </x:c>
      <x:c r="G448" s="19" t="str">
        <x:v>天眼查</x:v>
      </x:c>
      <x:c r="H448" s="19"/>
      <x:c r="I448" s="19" t="str">
        <x:v>2026-03-13</x:v>
      </x:c>
      <x:c r="J448" s="19" t="str">
        <x:v>https://www.p5w.net/roll/tyc/202603/t20260313_6442360.htm</x:v>
      </x:c>
      <x:c r="K448" s="19" t="str">
        <x:v>https://www.p5w.net/roll/tyc/202603/t20260313_6442360.htm</x:v>
      </x:c>
      <x:c r="L448" s="19" t="str">
        <x:v>data/derived/narrative-risk-r01-r04-20260826/evidence/media-fulltext/cambricon/media-cambricon-c2ba74cb7937.txt</x:v>
      </x:c>
      <x:c r="M448" s="19" t="str">
        <x:v>450e8317e169b6c5f2bb3a3bc21428b924137d0543b63fae11bcfc6cf9d89c74</x:v>
      </x:c>
      <x:c r="N448" s="19" t="n">
        <x:v>85</x:v>
      </x:c>
      <x:c r="O448" s="19" t="str">
        <x:v>candidate-only</x:v>
      </x:c>
      <x:c r="P448" s="33" t="b">
        <x:v>0</x:v>
      </x:c>
      <x:c r="Q448" s="19" t="n">
        <x:v>1</x:v>
      </x:c>
      <x:c r="R448" s="19" t="str">
        <x:v>conditional-local-file-unavailable</x:v>
      </x:c>
    </x:row>
    <x:row r="449" ht="21.600000381469727" hidden="0" customHeight="1">
      <x:c r="A449" s="19" t="str">
        <x:v>R01–R04审计</x:v>
      </x:c>
      <x:c r="B449" s="19" t="str">
        <x:v>media-cambricon-d65a9bcc4d0a</x:v>
      </x:c>
      <x:c r="C449" s="19" t="str">
        <x:v>寒武纪</x:v>
      </x:c>
      <x:c r="D449" s="19" t="str">
        <x:v>权威媒体</x:v>
      </x:c>
      <x:c r="E449" s="19" t="str">
        <x:v>寒武纪首次年度盈利 营收同比增453%</x:v>
      </x:c>
      <x:c r="F449" s="19" t="str">
        <x:v>证券时报</x:v>
      </x:c>
      <x:c r="G449" s="19" t="str">
        <x:v>证券时报</x:v>
      </x:c>
      <x:c r="H449" s="19" t="str">
        <x:v>严翠</x:v>
      </x:c>
      <x:c r="I449" s="19" t="str">
        <x:v>2026-03-13</x:v>
      </x:c>
      <x:c r="J449" s="19" t="str">
        <x:v>https://www.p5w.net/roll/company/202603/t20260313_6442208.htm</x:v>
      </x:c>
      <x:c r="K449" s="19" t="str">
        <x:v>https://www.p5w.net/roll/company/202603/t20260313_6442208.htm</x:v>
      </x:c>
      <x:c r="L449" s="19" t="str">
        <x:v>data/derived/narrative-risk-r01-r04-20260826/evidence/media-fulltext/cambricon/media-cambricon-d65a9bcc4d0a.txt</x:v>
      </x:c>
      <x:c r="M449" s="19" t="str">
        <x:v>9bc123b95bf213ee9020a0a876ee3da6dbd7704c2ed82a92b0d35fa9347b6d12</x:v>
      </x:c>
      <x:c r="N449" s="19" t="n">
        <x:v>320</x:v>
      </x:c>
      <x:c r="O449" s="19" t="str">
        <x:v>third-party-fulltext</x:v>
      </x:c>
      <x:c r="P449" s="33" t="b">
        <x:v>1</x:v>
      </x:c>
      <x:c r="Q449" s="19" t="n">
        <x:v>2</x:v>
      </x:c>
      <x:c r="R449" s="19" t="str">
        <x:v>invalid-duplicate-source-id</x:v>
      </x:c>
    </x:row>
    <x:row r="450" ht="21.600000381469727" hidden="0" customHeight="1">
      <x:c r="A450" s="19" t="str">
        <x:v>R01–R04审计</x:v>
      </x:c>
      <x:c r="B450" s="19" t="str">
        <x:v>media-cambricon-03e0752df013</x:v>
      </x:c>
      <x:c r="C450" s="19" t="str">
        <x:v>寒武纪</x:v>
      </x:c>
      <x:c r="D450" s="19" t="str">
        <x:v>权威媒体</x:v>
      </x:c>
      <x:c r="E450" s="19" t="str">
        <x:v>半导体板块加速回调，寒武纪下跌超13%</x:v>
      </x:c>
      <x:c r="F450" s="19" t="str">
        <x:v>证券之星</x:v>
      </x:c>
      <x:c r="G450" s="19" t="str">
        <x:v>证券之星</x:v>
      </x:c>
      <x:c r="H450" s="19"/>
      <x:c r="I450" s="19" t="str">
        <x:v>2026-02-03</x:v>
      </x:c>
      <x:c r="J450" s="19" t="str">
        <x:v>https://www.p5w.net/roll/zqzx/202602/t20260203_6437059.htm</x:v>
      </x:c>
      <x:c r="K450" s="19" t="str">
        <x:v>https://www.p5w.net/roll/zqzx/202602/t20260203_6437059.htm</x:v>
      </x:c>
      <x:c r="L450" s="19" t="str">
        <x:v>data/derived/narrative-risk-r01-r04-20260826/evidence/media-fulltext/cambricon/media-cambricon-03e0752df013.txt</x:v>
      </x:c>
      <x:c r="M450" s="19" t="str">
        <x:v>e270afc8f19b71bf57a94cecff6702f64da1846d9fc27f562925b139c516d203</x:v>
      </x:c>
      <x:c r="N450" s="19" t="n">
        <x:v>256</x:v>
      </x:c>
      <x:c r="O450" s="19" t="str">
        <x:v>candidate-only</x:v>
      </x:c>
      <x:c r="P450" s="33" t="b">
        <x:v>0</x:v>
      </x:c>
      <x:c r="Q450" s="19" t="n">
        <x:v>1</x:v>
      </x:c>
      <x:c r="R450" s="19" t="str">
        <x:v>conditional-local-file-unavailable</x:v>
      </x:c>
    </x:row>
    <x:row r="451" ht="21.600000381469727" hidden="0" customHeight="1">
      <x:c r="A451" s="19" t="str">
        <x:v>R01–R04审计</x:v>
      </x:c>
      <x:c r="B451" s="19" t="str">
        <x:v>media-cambricon-6e264289f01e</x:v>
      </x:c>
      <x:c r="C451" s="19" t="str">
        <x:v>寒武纪</x:v>
      </x:c>
      <x:c r="D451" s="19" t="str">
        <x:v>权威媒体</x:v>
      </x:c>
      <x:c r="E451" s="19" t="str">
        <x:v>【风口解读】寒武纪预计去年扭亏为盈，积极推动人工智能应用场景落地</x:v>
      </x:c>
      <x:c r="F451" s="19" t="str">
        <x:v>泡财经</x:v>
      </x:c>
      <x:c r="G451" s="19" t="str">
        <x:v>泡财经</x:v>
      </x:c>
      <x:c r="H451" s="19"/>
      <x:c r="I451" s="19" t="str">
        <x:v>2026-01-30</x:v>
      </x:c>
      <x:c r="J451" s="19" t="str">
        <x:v>https://www.p5w.net/roll/pcj/202601/t20260130_6436551.htm</x:v>
      </x:c>
      <x:c r="K451" s="19" t="str">
        <x:v>https://www.p5w.net/roll/pcj/202601/t20260130_6436551.htm</x:v>
      </x:c>
      <x:c r="L451" s="19" t="str">
        <x:v>data/derived/narrative-risk-r01-r04-20260826/evidence/media-fulltext/cambricon/media-cambricon-6e264289f01e.txt</x:v>
      </x:c>
      <x:c r="M451" s="19" t="str">
        <x:v>2d8cfed19040314eaf99840e7e9343face899082b75b5a92217fdba0231c4b08</x:v>
      </x:c>
      <x:c r="N451" s="19" t="n">
        <x:v>191</x:v>
      </x:c>
      <x:c r="O451" s="19" t="str">
        <x:v>candidate-only</x:v>
      </x:c>
      <x:c r="P451" s="33" t="b">
        <x:v>0</x:v>
      </x:c>
      <x:c r="Q451" s="19" t="n">
        <x:v>1</x:v>
      </x:c>
      <x:c r="R451" s="19" t="str">
        <x:v>conditional-local-file-unavailable</x:v>
      </x:c>
    </x:row>
    <x:row r="452" ht="21.600000381469727" hidden="0" customHeight="1">
      <x:c r="A452" s="19" t="str">
        <x:v>R01–R04审计</x:v>
      </x:c>
      <x:c r="B452" s="19" t="str">
        <x:v>media-cambricon-5c33e1f0a8fe</x:v>
      </x:c>
      <x:c r="C452" s="19" t="str">
        <x:v>寒武纪</x:v>
      </x:c>
      <x:c r="D452" s="19" t="str">
        <x:v>权威媒体</x:v>
      </x:c>
      <x:c r="E452" s="19" t="str">
        <x:v>寒武纪斩获2025年度影响力科创品牌 以核心技术筑牢行业发展根基</x:v>
      </x:c>
      <x:c r="F452" s="19" t="str">
        <x:v>信阳新闻网</x:v>
      </x:c>
      <x:c r="G452" s="19" t="str">
        <x:v>信阳新闻网</x:v>
      </x:c>
      <x:c r="H452" s="19"/>
      <x:c r="I452" s="19" t="str">
        <x:v>2026-01-23</x:v>
      </x:c>
      <x:c r="J452" s="19" t="str">
        <x:v>https://www.p5w.net/roll/finance/202601/t20260123_6435215.htm</x:v>
      </x:c>
      <x:c r="K452" s="19" t="str">
        <x:v>https://www.p5w.net/roll/finance/202601/t20260123_6435215.htm</x:v>
      </x:c>
      <x:c r="L452" s="19" t="str">
        <x:v>data/derived/narrative-risk-r01-r04-20260826/evidence/media-fulltext/cambricon/media-cambricon-5c33e1f0a8fe.txt</x:v>
      </x:c>
      <x:c r="M452" s="19" t="str">
        <x:v>28c2d7c4d32ce64aa379e9c4723dc4d74b3a06382a7c3970988b65f2840e14ef</x:v>
      </x:c>
      <x:c r="N452" s="19" t="n">
        <x:v>628</x:v>
      </x:c>
      <x:c r="O452" s="19" t="str">
        <x:v>candidate-only</x:v>
      </x:c>
      <x:c r="P452" s="33" t="b">
        <x:v>0</x:v>
      </x:c>
      <x:c r="Q452" s="19" t="n">
        <x:v>1</x:v>
      </x:c>
      <x:c r="R452" s="19" t="str">
        <x:v>conditional-local-file-unavailable</x:v>
      </x:c>
    </x:row>
    <x:row r="453" ht="21.600000381469727" hidden="0" customHeight="1">
      <x:c r="A453" s="19" t="str">
        <x:v>R01–R04审计</x:v>
      </x:c>
      <x:c r="B453" s="19" t="str">
        <x:v>media-cambricon-d867c38aab50</x:v>
      </x:c>
      <x:c r="C453" s="19" t="str">
        <x:v>寒武纪</x:v>
      </x:c>
      <x:c r="D453" s="19" t="str">
        <x:v>权威媒体</x:v>
      </x:c>
      <x:c r="E453" s="19" t="str">
        <x:v>胡润发布中国人工智能50强，寒武纪居首！科创人工智能ETF华夏(589010)震荡走弱，短期调整或带来配置窗口</x:v>
      </x:c>
      <x:c r="F453" s="19" t="str">
        <x:v>证券之星</x:v>
      </x:c>
      <x:c r="G453" s="19" t="str">
        <x:v>证券之星</x:v>
      </x:c>
      <x:c r="H453" s="19"/>
      <x:c r="I453" s="19" t="str">
        <x:v>2026-01-19</x:v>
      </x:c>
      <x:c r="J453" s="19" t="str">
        <x:v>https://www.p5w.net/roll/zqzx/202601/t20260119_6434418.htm</x:v>
      </x:c>
      <x:c r="K453" s="19" t="str">
        <x:v>https://www.p5w.net/roll/zqzx/202601/t20260119_6434418.htm</x:v>
      </x:c>
      <x:c r="L453" s="19" t="str">
        <x:v>data/derived/narrative-risk-r01-r04-20260826/evidence/media-fulltext/cambricon/media-cambricon-d867c38aab50.txt</x:v>
      </x:c>
      <x:c r="M453" s="19" t="str">
        <x:v>cb6fc869ef56c017c13792e6a0f011e987b78741dacbcead9535e669e7f9f70f</x:v>
      </x:c>
      <x:c r="N453" s="19" t="n">
        <x:v>184</x:v>
      </x:c>
      <x:c r="O453" s="19" t="str">
        <x:v>candidate-only</x:v>
      </x:c>
      <x:c r="P453" s="33" t="b">
        <x:v>0</x:v>
      </x:c>
      <x:c r="Q453" s="19" t="n">
        <x:v>1</x:v>
      </x:c>
      <x:c r="R453" s="19" t="str">
        <x:v>conditional-local-file-unavailable</x:v>
      </x:c>
    </x:row>
    <x:row r="454" ht="21.600000381469727" hidden="0" customHeight="1">
      <x:c r="A454" s="19" t="str">
        <x:v>R01–R04审计</x:v>
      </x:c>
      <x:c r="B454" s="19" t="str">
        <x:v>media-cambricon-0d0d0ca430e9</x:v>
      </x:c>
      <x:c r="C454" s="19" t="str">
        <x:v>寒武纪</x:v>
      </x:c>
      <x:c r="D454" s="19" t="str">
        <x:v>权威媒体</x:v>
      </x:c>
      <x:c r="E454" s="19" t="str">
        <x:v>寒武纪西安集成电路公司增资至1.8亿 增幅80%</x:v>
      </x:c>
      <x:c r="F454" s="19" t="str">
        <x:v>天眼查</x:v>
      </x:c>
      <x:c r="G454" s="19" t="str">
        <x:v>天眼查</x:v>
      </x:c>
      <x:c r="H454" s="19"/>
      <x:c r="I454" s="19" t="str">
        <x:v>2026-01-06</x:v>
      </x:c>
      <x:c r="J454" s="19" t="str">
        <x:v>https://www.p5w.net/roll/tyc/202601/t20260106_6432214.htm</x:v>
      </x:c>
      <x:c r="K454" s="19" t="str">
        <x:v>https://www.p5w.net/roll/tyc/202601/t20260106_6432214.htm</x:v>
      </x:c>
      <x:c r="L454" s="19" t="str">
        <x:v>data/derived/narrative-risk-r01-r04-20260826/evidence/media-fulltext/cambricon/media-cambricon-0d0d0ca430e9.txt</x:v>
      </x:c>
      <x:c r="M454" s="19" t="str">
        <x:v>05fdaec227f2f7ae5ebef20dedf1213a17dcb3515bc5e223f698a0271d47ab9b</x:v>
      </x:c>
      <x:c r="N454" s="19" t="n">
        <x:v>50</x:v>
      </x:c>
      <x:c r="O454" s="19" t="str">
        <x:v>candidate-only</x:v>
      </x:c>
      <x:c r="P454" s="33" t="b">
        <x:v>0</x:v>
      </x:c>
      <x:c r="Q454" s="19" t="n">
        <x:v>1</x:v>
      </x:c>
      <x:c r="R454" s="19" t="str">
        <x:v>conditional-local-file-unavailable</x:v>
      </x:c>
    </x:row>
    <x:row r="455" ht="21.600000381469727" hidden="0" customHeight="1">
      <x:c r="A455" s="19" t="str">
        <x:v>R01–R04审计</x:v>
      </x:c>
      <x:c r="B455" s="19" t="str">
        <x:v>media-cambricon-15e25c3a401f</x:v>
      </x:c>
      <x:c r="C455" s="19" t="str">
        <x:v>寒武纪</x:v>
      </x:c>
      <x:c r="D455" s="19" t="str">
        <x:v>权威媒体</x:v>
      </x:c>
      <x:c r="E455" s="19" t="str">
        <x:v>安徽寒武纪信息科技公司增资至2.8亿 增幅40%</x:v>
      </x:c>
      <x:c r="F455" s="19" t="str">
        <x:v>天眼查</x:v>
      </x:c>
      <x:c r="G455" s="19" t="str">
        <x:v>天眼查</x:v>
      </x:c>
      <x:c r="H455" s="19"/>
      <x:c r="I455" s="19" t="str">
        <x:v>2025-12-26</x:v>
      </x:c>
      <x:c r="J455" s="19" t="str">
        <x:v>https://www.p5w.net/roll/tyc/202512/t20251226_6430565.htm</x:v>
      </x:c>
      <x:c r="K455" s="19" t="str">
        <x:v>https://www.p5w.net/roll/tyc/202512/t20251226_6430565.htm</x:v>
      </x:c>
      <x:c r="L455" s="19" t="str">
        <x:v>data/derived/narrative-risk-r01-r04-20260826/evidence/media-fulltext/cambricon/media-cambricon-15e25c3a401f.txt</x:v>
      </x:c>
      <x:c r="M455" s="19" t="str">
        <x:v>4263ad8d691495d1bf554c5c89d683c796c3e70675bf1716bdab77bbdfc80d53</x:v>
      </x:c>
      <x:c r="N455" s="19" t="n">
        <x:v>55</x:v>
      </x:c>
      <x:c r="O455" s="19" t="str">
        <x:v>candidate-only</x:v>
      </x:c>
      <x:c r="P455" s="33" t="b">
        <x:v>0</x:v>
      </x:c>
      <x:c r="Q455" s="19" t="n">
        <x:v>1</x:v>
      </x:c>
      <x:c r="R455" s="19" t="str">
        <x:v>conditional-local-file-unavailable</x:v>
      </x:c>
    </x:row>
    <x:row r="456" ht="21.600000381469727" hidden="0" customHeight="1">
      <x:c r="A456" s="19" t="str">
        <x:v>R01–R04审计</x:v>
      </x:c>
      <x:c r="B456" s="19" t="str">
        <x:v>media-cambricon-1a4941061e0c</x:v>
      </x:c>
      <x:c r="C456" s="19" t="str">
        <x:v>寒武纪</x:v>
      </x:c>
      <x:c r="D456" s="19" t="str">
        <x:v>权威媒体</x:v>
      </x:c>
      <x:c r="E456" s="19" t="str">
        <x:v>上海寒武纪信息科技公司增资至37亿 增幅约37%</x:v>
      </x:c>
      <x:c r="F456" s="19" t="str">
        <x:v>天眼查</x:v>
      </x:c>
      <x:c r="G456" s="19" t="str">
        <x:v>天眼查</x:v>
      </x:c>
      <x:c r="H456" s="19"/>
      <x:c r="I456" s="19" t="str">
        <x:v>2025-12-19</x:v>
      </x:c>
      <x:c r="J456" s="19" t="str">
        <x:v>https://www.p5w.net/roll/tyc/202512/t20251219_6429382.htm</x:v>
      </x:c>
      <x:c r="K456" s="19" t="str">
        <x:v>https://www.p5w.net/roll/tyc/202512/t20251219_6429382.htm</x:v>
      </x:c>
      <x:c r="L456" s="19" t="str">
        <x:v>data/derived/narrative-risk-r01-r04-20260826/evidence/media-fulltext/cambricon/media-cambricon-1a4941061e0c.txt</x:v>
      </x:c>
      <x:c r="M456" s="19" t="str">
        <x:v>903b53a469a61a87b151ea574bb979d1c899037edbddf6e52e9f429d561afada</x:v>
      </x:c>
      <x:c r="N456" s="19" t="n">
        <x:v>63</x:v>
      </x:c>
      <x:c r="O456" s="19" t="str">
        <x:v>candidate-only</x:v>
      </x:c>
      <x:c r="P456" s="33" t="b">
        <x:v>0</x:v>
      </x:c>
      <x:c r="Q456" s="19" t="n">
        <x:v>1</x:v>
      </x:c>
      <x:c r="R456" s="19" t="str">
        <x:v>conditional-local-file-unavailable</x:v>
      </x:c>
    </x:row>
    <x:row r="457" ht="21.600000381469727" hidden="0" customHeight="1">
      <x:c r="A457" s="19" t="str">
        <x:v>R01–R04审计</x:v>
      </x:c>
      <x:c r="B457" s="19" t="str">
        <x:v>media-cambricon-38a800695a17</x:v>
      </x:c>
      <x:c r="C457" s="19" t="str">
        <x:v>寒武纪</x:v>
      </x:c>
      <x:c r="D457" s="19" t="str">
        <x:v>权威媒体</x:v>
      </x:c>
      <x:c r="E457" s="19" t="str">
        <x:v>寒武纪增资至约4.22亿</x:v>
      </x:c>
      <x:c r="F457" s="19" t="str">
        <x:v>天眼查</x:v>
      </x:c>
      <x:c r="G457" s="19" t="str">
        <x:v>天眼查</x:v>
      </x:c>
      <x:c r="H457" s="19"/>
      <x:c r="I457" s="19" t="str">
        <x:v>2025-12-18</x:v>
      </x:c>
      <x:c r="J457" s="19" t="str">
        <x:v>https://www.p5w.net/roll/tyc/202512/t20251218_6429176.htm</x:v>
      </x:c>
      <x:c r="K457" s="19" t="str">
        <x:v>https://www.p5w.net/roll/tyc/202512/t20251218_6429176.htm</x:v>
      </x:c>
      <x:c r="L457" s="19" t="str">
        <x:v>data/derived/narrative-risk-r01-r04-20260826/evidence/media-fulltext/cambricon/media-cambricon-38a800695a17.txt</x:v>
      </x:c>
      <x:c r="M457" s="19" t="str">
        <x:v>50e6c693310885921d6bd2b671671d770b2732595245c14e705875a0d2107f01</x:v>
      </x:c>
      <x:c r="N457" s="19" t="n">
        <x:v>65</x:v>
      </x:c>
      <x:c r="O457" s="19" t="str">
        <x:v>candidate-only</x:v>
      </x:c>
      <x:c r="P457" s="33" t="b">
        <x:v>0</x:v>
      </x:c>
      <x:c r="Q457" s="19" t="n">
        <x:v>1</x:v>
      </x:c>
      <x:c r="R457" s="19" t="str">
        <x:v>conditional-local-file-unavailable</x:v>
      </x:c>
    </x:row>
    <x:row r="458" ht="21.600000381469727" hidden="0" customHeight="1">
      <x:c r="A458" s="19" t="str">
        <x:v>R01–R04审计</x:v>
      </x:c>
      <x:c r="B458" s="19" t="str">
        <x:v>media-cambricon-7a19069dddb5</x:v>
      </x:c>
      <x:c r="C458" s="19" t="str">
        <x:v>寒武纪</x:v>
      </x:c>
      <x:c r="D458" s="19" t="str">
        <x:v>权威媒体</x:v>
      </x:c>
      <x:c r="E458" s="19" t="str">
        <x:v>商汤日日新Seko系列模型与寒武纪成功适配，国产算力&amp;多模态AI实现关键跨越</x:v>
      </x:c>
      <x:c r="F458" s="19" t="str">
        <x:v>信阳新闻网</x:v>
      </x:c>
      <x:c r="G458" s="19" t="str">
        <x:v>信阳新闻网</x:v>
      </x:c>
      <x:c r="H458" s="19"/>
      <x:c r="I458" s="19" t="str">
        <x:v>2025-12-15</x:v>
      </x:c>
      <x:c r="J458" s="19" t="str">
        <x:v>https://www.p5w.net/roll/finance/202512/t20251215_6428604.htm</x:v>
      </x:c>
      <x:c r="K458" s="19" t="str">
        <x:v>https://www.p5w.net/roll/finance/202512/t20251215_6428604.htm</x:v>
      </x:c>
      <x:c r="L458" s="19" t="str">
        <x:v>data/derived/narrative-risk-r01-r04-20260826/evidence/media-fulltext/cambricon/media-cambricon-7a19069dddb5.txt</x:v>
      </x:c>
      <x:c r="M458" s="19" t="str">
        <x:v>d995d7ec74288472fa9efbb0b43ea0da5e5546845660c5c6470a5d52eae3bb01</x:v>
      </x:c>
      <x:c r="N458" s="19" t="n">
        <x:v>386</x:v>
      </x:c>
      <x:c r="O458" s="19" t="str">
        <x:v>candidate-only</x:v>
      </x:c>
      <x:c r="P458" s="33" t="b">
        <x:v>0</x:v>
      </x:c>
      <x:c r="Q458" s="19" t="n">
        <x:v>1</x:v>
      </x:c>
      <x:c r="R458" s="19" t="str">
        <x:v>conditional-local-file-unavailable</x:v>
      </x:c>
    </x:row>
    <x:row r="459" ht="21.600000381469727" hidden="0" customHeight="1">
      <x:c r="A459" s="19" t="str">
        <x:v>R01–R04审计</x:v>
      </x:c>
      <x:c r="B459" s="19" t="str">
        <x:v>media-cambricon-b945bf5ab438</x:v>
      </x:c>
      <x:c r="C459" s="19" t="str">
        <x:v>寒武纪</x:v>
      </x:c>
      <x:c r="D459" s="19" t="str">
        <x:v>权威媒体</x:v>
      </x:c>
      <x:c r="E459" s="19" t="str">
        <x:v>寒武纪在北京成立智算科技公司 注册资本1亿</x:v>
      </x:c>
      <x:c r="F459" s="19" t="str">
        <x:v>天眼查</x:v>
      </x:c>
      <x:c r="G459" s="19" t="str">
        <x:v>天眼查</x:v>
      </x:c>
      <x:c r="H459" s="19"/>
      <x:c r="I459" s="19" t="str">
        <x:v>2025-12-02</x:v>
      </x:c>
      <x:c r="J459" s="19" t="str">
        <x:v>https://www.p5w.net/roll/tyc/202512/t20251202_6426329.htm</x:v>
      </x:c>
      <x:c r="K459" s="19" t="str">
        <x:v>https://www.p5w.net/roll/tyc/202512/t20251202_6426329.htm</x:v>
      </x:c>
      <x:c r="L459" s="19" t="str">
        <x:v>data/derived/narrative-risk-r01-r04-20260826/evidence/media-fulltext/cambricon/media-cambricon-b945bf5ab438.txt</x:v>
      </x:c>
      <x:c r="M459" s="19" t="str">
        <x:v>7c128411091f00cd73fa4cc6034faa90add5fa6eda1f10bd4f8bae11dd2c0cca</x:v>
      </x:c>
      <x:c r="N459" s="19" t="n">
        <x:v>35</x:v>
      </x:c>
      <x:c r="O459" s="19" t="str">
        <x:v>candidate-only</x:v>
      </x:c>
      <x:c r="P459" s="33" t="b">
        <x:v>0</x:v>
      </x:c>
      <x:c r="Q459" s="19" t="n">
        <x:v>1</x:v>
      </x:c>
      <x:c r="R459" s="19" t="str">
        <x:v>conditional-local-file-unavailable</x:v>
      </x:c>
    </x:row>
    <x:row r="460" ht="21.600000381469727" hidden="0" customHeight="1">
      <x:c r="A460" s="19" t="str">
        <x:v>R01–R04审计</x:v>
      </x:c>
      <x:c r="B460" s="19" t="str">
        <x:v>media-cambricon-a88fdf652f5f</x:v>
      </x:c>
      <x:c r="C460" s="19" t="str">
        <x:v>寒武纪</x:v>
      </x:c>
      <x:c r="D460" s="19" t="str">
        <x:v>权威媒体</x:v>
      </x:c>
      <x:c r="E460" s="19" t="str">
        <x:v>前CTO三告寒武纪，索赔超42亿，股权激励背后的“罗生门”</x:v>
      </x:c>
      <x:c r="F460" s="19" t="str">
        <x:v>证券之星</x:v>
      </x:c>
      <x:c r="G460" s="19" t="str">
        <x:v>证券之星</x:v>
      </x:c>
      <x:c r="H460" s="19"/>
      <x:c r="I460" s="19" t="str">
        <x:v>2025-11-05</x:v>
      </x:c>
      <x:c r="J460" s="19" t="str">
        <x:v>https://www.p5w.net/roll/zqzx/202511/t20251105_6421577.htm</x:v>
      </x:c>
      <x:c r="K460" s="19" t="str">
        <x:v>https://www.p5w.net/roll/zqzx/202511/t20251105_6421577.htm</x:v>
      </x:c>
      <x:c r="L460" s="19" t="str">
        <x:v>data/derived/narrative-risk-r01-r04-20260826/evidence/media-fulltext/cambricon/media-cambricon-a88fdf652f5f.txt</x:v>
      </x:c>
      <x:c r="M460" s="19" t="str">
        <x:v>2d8d3b2e07a76e7e2946a571f5b5b0ec78bbd1f59f6ec70e4150e4dc8b317a1f</x:v>
      </x:c>
      <x:c r="N460" s="19" t="n">
        <x:v>800</x:v>
      </x:c>
      <x:c r="O460" s="19" t="str">
        <x:v>candidate-only</x:v>
      </x:c>
      <x:c r="P460" s="33" t="b">
        <x:v>0</x:v>
      </x:c>
      <x:c r="Q460" s="19" t="n">
        <x:v>1</x:v>
      </x:c>
      <x:c r="R460" s="19" t="str">
        <x:v>conditional-local-file-unavailable</x:v>
      </x:c>
    </x:row>
    <x:row r="461" ht="21.600000381469727" hidden="0" customHeight="1">
      <x:c r="A461" s="19" t="str">
        <x:v>R01–R04审计</x:v>
      </x:c>
      <x:c r="B461" s="19" t="str">
        <x:v>media-cambricon-d6ecac060889</x:v>
      </x:c>
      <x:c r="C461" s="19" t="str">
        <x:v>寒武纪</x:v>
      </x:c>
      <x:c r="D461" s="19" t="str">
        <x:v>权威媒体</x:v>
      </x:c>
      <x:c r="E461" s="19" t="str">
        <x:v>科创板指数“上新”！浦发银行参与编制，寒武纪、澜起科技等公司在列</x:v>
      </x:c>
      <x:c r="F461" s="19" t="str">
        <x:v>全景网</x:v>
      </x:c>
      <x:c r="G461" s="19" t="str">
        <x:v>全景网</x:v>
      </x:c>
      <x:c r="H461" s="19"/>
      <x:c r="I461" s="19" t="str">
        <x:v>2025-10-15</x:v>
      </x:c>
      <x:c r="J461" s="19" t="str">
        <x:v>https://www.p5w.net/roll/stock/202510/t20251015_6413459.htm</x:v>
      </x:c>
      <x:c r="K461" s="19" t="str">
        <x:v>https://www.p5w.net/roll/stock/202510/t20251015_6413459.htm</x:v>
      </x:c>
      <x:c r="L461" s="19" t="str">
        <x:v>data/derived/narrative-risk-r01-r04-20260826/evidence/media-fulltext/cambricon/media-cambricon-d6ecac060889.txt</x:v>
      </x:c>
      <x:c r="M461" s="19" t="str">
        <x:v>f54094dea63726440250500ef13fcae2901c731a35c7390ec593761740c6ff05</x:v>
      </x:c>
      <x:c r="N461" s="19" t="n">
        <x:v>273</x:v>
      </x:c>
      <x:c r="O461" s="19" t="str">
        <x:v>third-party-fulltext</x:v>
      </x:c>
      <x:c r="P461" s="33" t="b">
        <x:v>1</x:v>
      </x:c>
      <x:c r="Q461" s="19" t="n">
        <x:v>1</x:v>
      </x:c>
      <x:c r="R461" s="19" t="str">
        <x:v>conditional-local-file-unavailable</x:v>
      </x:c>
    </x:row>
    <x:row r="462" ht="21.600000381469727" hidden="0" customHeight="1">
      <x:c r="A462" s="19" t="str">
        <x:v>R01–R04审计</x:v>
      </x:c>
      <x:c r="B462" s="19" t="str">
        <x:v>media-cambricon-3ed71a4f62d4</x:v>
      </x:c>
      <x:c r="C462" s="19" t="str">
        <x:v>寒武纪</x:v>
      </x:c>
      <x:c r="D462" s="19" t="str">
        <x:v>权威媒体</x:v>
      </x:c>
      <x:c r="E462" s="19" t="str">
        <x:v>寒武纪最大对手？又一芯片“大牛股”爆了！市值15年新高！</x:v>
      </x:c>
      <x:c r="F462" s="19" t="str">
        <x:v>泡财经</x:v>
      </x:c>
      <x:c r="G462" s="19" t="str">
        <x:v>泡财经</x:v>
      </x:c>
      <x:c r="H462" s="19"/>
      <x:c r="I462" s="19" t="str">
        <x:v>2025-09-22</x:v>
      </x:c>
      <x:c r="J462" s="19" t="str">
        <x:v>https://www.p5w.net/roll/pcj/202509/t20250922_6397119.htm</x:v>
      </x:c>
      <x:c r="K462" s="19" t="str">
        <x:v>https://www.p5w.net/roll/pcj/202509/t20250922_6397119.htm</x:v>
      </x:c>
      <x:c r="L462" s="19" t="str">
        <x:v>data/derived/narrative-risk-r01-r04-20260826/evidence/media-fulltext/cambricon/media-cambricon-3ed71a4f62d4.txt</x:v>
      </x:c>
      <x:c r="M462" s="19" t="str">
        <x:v>ccd15a1a62605d1cf5dde86900644cacfc044169076b6ee19c7da72f9af1b415</x:v>
      </x:c>
      <x:c r="N462" s="19" t="n">
        <x:v>559</x:v>
      </x:c>
      <x:c r="O462" s="19" t="str">
        <x:v>candidate-only</x:v>
      </x:c>
      <x:c r="P462" s="33" t="b">
        <x:v>0</x:v>
      </x:c>
      <x:c r="Q462" s="19" t="n">
        <x:v>1</x:v>
      </x:c>
      <x:c r="R462" s="19" t="str">
        <x:v>conditional-local-file-unavailable</x:v>
      </x:c>
    </x:row>
    <x:row r="463" ht="21.600000381469727" hidden="0" customHeight="1">
      <x:c r="A463" s="19" t="str">
        <x:v>R01–R04审计</x:v>
      </x:c>
      <x:c r="B463" s="19" t="str">
        <x:v>media-cambricon-748cf188e371</x:v>
      </x:c>
      <x:c r="C463" s="19" t="str">
        <x:v>寒武纪</x:v>
      </x:c>
      <x:c r="D463" s="19" t="str">
        <x:v>权威媒体</x:v>
      </x:c>
      <x:c r="E463" s="19" t="str">
        <x:v>【风口解读】寒武纪39.85亿定增获批，2023年完成定增募资16.72亿元</x:v>
      </x:c>
      <x:c r="F463" s="19" t="str">
        <x:v>泡财经</x:v>
      </x:c>
      <x:c r="G463" s="19" t="str">
        <x:v>泡财经</x:v>
      </x:c>
      <x:c r="H463" s="19"/>
      <x:c r="I463" s="19" t="str">
        <x:v>2025-09-09</x:v>
      </x:c>
      <x:c r="J463" s="19" t="str">
        <x:v>https://www.p5w.net/roll/pcj/202509/t20250909_6394558.htm</x:v>
      </x:c>
      <x:c r="K463" s="19" t="str">
        <x:v>https://www.p5w.net/roll/pcj/202509/t20250909_6394558.htm</x:v>
      </x:c>
      <x:c r="L463" s="19" t="str">
        <x:v>data/derived/narrative-risk-r01-r04-20260826/evidence/media-fulltext/cambricon/media-cambricon-748cf188e371.txt</x:v>
      </x:c>
      <x:c r="M463" s="19" t="str">
        <x:v>177aff79b62e8fe9fee2f00c55d5a9cf4ae86caf99a66d329a1deba30f271095</x:v>
      </x:c>
      <x:c r="N463" s="19" t="n">
        <x:v>127</x:v>
      </x:c>
      <x:c r="O463" s="19" t="str">
        <x:v>candidate-only</x:v>
      </x:c>
      <x:c r="P463" s="33" t="b">
        <x:v>0</x:v>
      </x:c>
      <x:c r="Q463" s="19" t="n">
        <x:v>1</x:v>
      </x:c>
      <x:c r="R463" s="19" t="str">
        <x:v>conditional-local-file-unavailable</x:v>
      </x:c>
    </x:row>
    <x:row r="464" ht="21.600000381469727" hidden="0" customHeight="1">
      <x:c r="A464" s="19" t="str">
        <x:v>R01–R04审计</x:v>
      </x:c>
      <x:c r="B464" s="19" t="str">
        <x:v>media-cambricon-af44268d9c7f</x:v>
      </x:c>
      <x:c r="C464" s="19" t="str">
        <x:v>寒武纪</x:v>
      </x:c>
      <x:c r="D464" s="19" t="str">
        <x:v>权威媒体</x:v>
      </x:c>
      <x:c r="E464" s="19" t="str">
        <x:v>2104元！“高盛”强CALL，寒武纪目标价再度被拔高！是否存在风险？</x:v>
      </x:c>
      <x:c r="F464" s="19" t="str">
        <x:v>证券时报网</x:v>
      </x:c>
      <x:c r="G464" s="19" t="str">
        <x:v>证券时报</x:v>
      </x:c>
      <x:c r="H464" s="19"/>
      <x:c r="I464" s="19" t="str">
        <x:v>2025-09-01</x:v>
      </x:c>
      <x:c r="J464" s="19" t="str">
        <x:v>https://www.p5w.net/roll/company/202509/t20250901_6393127.htm</x:v>
      </x:c>
      <x:c r="K464" s="19" t="str">
        <x:v>https://www.p5w.net/roll/company/202509/t20250901_6393127.htm</x:v>
      </x:c>
      <x:c r="L464" s="19" t="str">
        <x:v>data/derived/narrative-risk-r01-r04-20260826/evidence/media-fulltext/cambricon/media-cambricon-af44268d9c7f.txt</x:v>
      </x:c>
      <x:c r="M464" s="19" t="str">
        <x:v>629535fee9e32d0813afe8cf3390b348cab1575d58e85820e84da7d62fa531b2</x:v>
      </x:c>
      <x:c r="N464" s="19" t="n">
        <x:v>678</x:v>
      </x:c>
      <x:c r="O464" s="19" t="str">
        <x:v>third-party-fulltext</x:v>
      </x:c>
      <x:c r="P464" s="33" t="b">
        <x:v>1</x:v>
      </x:c>
      <x:c r="Q464" s="19" t="n">
        <x:v>3</x:v>
      </x:c>
      <x:c r="R464" s="19" t="str">
        <x:v>invalid-duplicate-source-id</x:v>
      </x:c>
    </x:row>
    <x:row r="465" ht="21.600000381469727" hidden="0" customHeight="1">
      <x:c r="A465" s="19" t="str">
        <x:v>R01–R04审计</x:v>
      </x:c>
      <x:c r="B465" s="19" t="str">
        <x:v>media-cambricon-0c00cba1df6c</x:v>
      </x:c>
      <x:c r="C465" s="19" t="str">
        <x:v>寒武纪</x:v>
      </x:c>
      <x:c r="D465" s="19" t="str">
        <x:v>权威媒体</x:v>
      </x:c>
      <x:c r="E465" s="19" t="str">
        <x:v>图解寒武纪中报：第二季度单季净利润同比增长324.97%</x:v>
      </x:c>
      <x:c r="F465" s="19" t="str">
        <x:v>证券之星</x:v>
      </x:c>
      <x:c r="G465" s="19" t="str">
        <x:v>证券之星</x:v>
      </x:c>
      <x:c r="H465" s="19"/>
      <x:c r="I465" s="19" t="str">
        <x:v>2025-08-27</x:v>
      </x:c>
      <x:c r="J465" s="19" t="str">
        <x:v>https://www.p5w.net/roll/zqzx/202508/t20250827_6389549.htm</x:v>
      </x:c>
      <x:c r="K465" s="19" t="str">
        <x:v>https://www.p5w.net/roll/zqzx/202508/t20250827_6389549.htm</x:v>
      </x:c>
      <x:c r="L465" s="19" t="str">
        <x:v>data/derived/narrative-risk-r01-r04-20260826/evidence/media-fulltext/cambricon/media-cambricon-0c00cba1df6c.txt</x:v>
      </x:c>
      <x:c r="M465" s="19" t="str">
        <x:v>e1ad82c41f66e66ca1745fb15e9c11eccb1317bcc112b0461b182b0bb27be08f</x:v>
      </x:c>
      <x:c r="N465" s="19" t="n">
        <x:v>73</x:v>
      </x:c>
      <x:c r="O465" s="19" t="str">
        <x:v>candidate-only</x:v>
      </x:c>
      <x:c r="P465" s="33" t="b">
        <x:v>0</x:v>
      </x:c>
      <x:c r="Q465" s="19" t="n">
        <x:v>1</x:v>
      </x:c>
      <x:c r="R465" s="19" t="str">
        <x:v>conditional-local-file-unavailable</x:v>
      </x:c>
    </x:row>
    <x:row r="466" ht="21.600000381469727" hidden="0" customHeight="1">
      <x:c r="A466" s="19" t="str">
        <x:v>R01–R04审计</x:v>
      </x:c>
      <x:c r="B466" s="19" t="str">
        <x:v>media-cambricon-fcfb1a56a35b</x:v>
      </x:c>
      <x:c r="C466" s="19" t="str">
        <x:v>寒武纪</x:v>
      </x:c>
      <x:c r="D466" s="19" t="str">
        <x:v>权威媒体</x:v>
      </x:c>
      <x:c r="E466" s="19" t="str">
        <x:v>寒武纪商业版图盘点</x:v>
      </x:c>
      <x:c r="F466" s="19" t="str">
        <x:v>天眼查</x:v>
      </x:c>
      <x:c r="G466" s="19" t="str">
        <x:v>天眼查</x:v>
      </x:c>
      <x:c r="H466" s="19"/>
      <x:c r="I466" s="19" t="str">
        <x:v>2025-08-27</x:v>
      </x:c>
      <x:c r="J466" s="19" t="str">
        <x:v>https://www.p5w.net/roll/tyc/202508/t20250827_6389833.htm</x:v>
      </x:c>
      <x:c r="K466" s="19" t="str">
        <x:v>https://www.p5w.net/roll/tyc/202508/t20250827_6389833.htm</x:v>
      </x:c>
      <x:c r="L466" s="19" t="str">
        <x:v>data/derived/narrative-risk-r01-r04-20260826/evidence/media-fulltext/cambricon/media-cambricon-fcfb1a56a35b.txt</x:v>
      </x:c>
      <x:c r="M466" s="19" t="str">
        <x:v>5dd5afedf29f514a02d38d7e3265955b048111fc91a17a7b9146d740e0bf0722</x:v>
      </x:c>
      <x:c r="N466" s="19" t="n">
        <x:v>115</x:v>
      </x:c>
      <x:c r="O466" s="19" t="str">
        <x:v>candidate-only</x:v>
      </x:c>
      <x:c r="P466" s="33" t="b">
        <x:v>0</x:v>
      </x:c>
      <x:c r="Q466" s="19" t="n">
        <x:v>1</x:v>
      </x:c>
      <x:c r="R466" s="19" t="str">
        <x:v>conditional-local-file-unavailable</x:v>
      </x:c>
    </x:row>
    <x:row r="467" ht="21.600000381469727" hidden="0" customHeight="1">
      <x:c r="A467" s="19" t="str">
        <x:v>R01–R04审计</x:v>
      </x:c>
      <x:c r="B467" s="19" t="str">
        <x:v>media-cambricon-81ceb5452596</x:v>
      </x:c>
      <x:c r="C467" s="19" t="str">
        <x:v>寒武纪</x:v>
      </x:c>
      <x:c r="D467" s="19" t="str">
        <x:v>权威媒体</x:v>
      </x:c>
      <x:c r="E467" s="19" t="str">
        <x:v>“国产AI芯片第一股”寒武纪上半年扭亏为盈，股价自7月低点翻番冲至千元以上</x:v>
      </x:c>
      <x:c r="F467" s="19" t="str">
        <x:v>蓝鲸财经</x:v>
      </x:c>
      <x:c r="G467" s="19" t="str">
        <x:v>蓝鲸财经</x:v>
      </x:c>
      <x:c r="H467" s="19" t="str">
        <x:v>蓝鲸财经</x:v>
      </x:c>
      <x:c r="I467" s="19" t="str">
        <x:v>2025-08-27</x:v>
      </x:c>
      <x:c r="J467" s="19" t="str">
        <x:v>https://www.p5w.net/roll/lanjinger/202508/t20250827_6389696.htm</x:v>
      </x:c>
      <x:c r="K467" s="19" t="str">
        <x:v>https://www.p5w.net/roll/lanjinger/202508/t20250827_6389696.htm</x:v>
      </x:c>
      <x:c r="L467" s="19" t="str">
        <x:v>data/derived/narrative-risk-r01-r04-20260826/evidence/media-fulltext/cambricon/media-cambricon-81ceb5452596.txt</x:v>
      </x:c>
      <x:c r="M467" s="19" t="str">
        <x:v>ef01f8ba2a72940f956cd634a7333d9bb2c5e26e810b6e1cfb7d7a04e82ad7e8</x:v>
      </x:c>
      <x:c r="N467" s="19" t="n">
        <x:v>474</x:v>
      </x:c>
      <x:c r="O467" s="19" t="str">
        <x:v>third-party-fulltext</x:v>
      </x:c>
      <x:c r="P467" s="33" t="b">
        <x:v>1</x:v>
      </x:c>
      <x:c r="Q467" s="19" t="n">
        <x:v>1</x:v>
      </x:c>
      <x:c r="R467" s="19" t="str">
        <x:v>conditional-local-file-unavailable</x:v>
      </x:c>
    </x:row>
    <x:row r="468" ht="21.600000381469727" hidden="0" customHeight="1">
      <x:c r="A468" s="19" t="str">
        <x:v>R01–R04审计</x:v>
      </x:c>
      <x:c r="B468" s="19" t="str">
        <x:v>media-cambricon-ecfa090a985d</x:v>
      </x:c>
      <x:c r="C468" s="19" t="str">
        <x:v>寒武纪</x:v>
      </x:c>
      <x:c r="D468" s="19" t="str">
        <x:v>权威媒体</x:v>
      </x:c>
      <x:c r="E468" s="19" t="str">
        <x:v>午后，寒武纪突破1464元！一度超越贵州茅台成为新“股王”！</x:v>
      </x:c>
      <x:c r="F468" s="19" t="str">
        <x:v>证券时报网·e公司</x:v>
      </x:c>
      <x:c r="G468" s="19" t="str">
        <x:v>证券时报</x:v>
      </x:c>
      <x:c r="H468" s="19" t="str">
        <x:v>锐新</x:v>
      </x:c>
      <x:c r="I468" s="19" t="str">
        <x:v>2025-08-27</x:v>
      </x:c>
      <x:c r="J468" s="19" t="str">
        <x:v>https://www.p5w.net/roll/company/202508/t20250827_6389770.htm</x:v>
      </x:c>
      <x:c r="K468" s="19" t="str">
        <x:v>https://www.p5w.net/roll/company/202508/t20250827_6389770.htm</x:v>
      </x:c>
      <x:c r="L468" s="19" t="str">
        <x:v>data/derived/narrative-risk-r01-r04-20260826/evidence/media-fulltext/cambricon/media-cambricon-ecfa090a985d.txt</x:v>
      </x:c>
      <x:c r="M468" s="19" t="str">
        <x:v>b7e7f256c636cb1a770dd3a98a666c79852d85409965ff227be6826669f8ffea</x:v>
      </x:c>
      <x:c r="N468" s="19" t="n">
        <x:v>110</x:v>
      </x:c>
      <x:c r="O468" s="19" t="str">
        <x:v>third-party-fulltext</x:v>
      </x:c>
      <x:c r="P468" s="33" t="b">
        <x:v>1</x:v>
      </x:c>
      <x:c r="Q468" s="19" t="n">
        <x:v>1</x:v>
      </x:c>
      <x:c r="R468" s="19" t="str">
        <x:v>conditional-local-file-unavailable</x:v>
      </x:c>
    </x:row>
    <x:row r="469" ht="21.600000381469727" hidden="0" customHeight="1">
      <x:c r="A469" s="19" t="str">
        <x:v>R01–R04审计</x:v>
      </x:c>
      <x:c r="B469" s="19" t="str">
        <x:v>media-cambricon-8bc149f0481b</x:v>
      </x:c>
      <x:c r="C469" s="19" t="str">
        <x:v>寒武纪</x:v>
      </x:c>
      <x:c r="D469" s="19" t="str">
        <x:v>权威媒体</x:v>
      </x:c>
      <x:c r="E469" s="19" t="str">
        <x:v>寒武纪上半年业绩爆发： 营收增长43倍 净利超10亿元</x:v>
      </x:c>
      <x:c r="F469" s="19" t="str">
        <x:v>证券时报</x:v>
      </x:c>
      <x:c r="G469" s="19" t="str">
        <x:v>证券时报</x:v>
      </x:c>
      <x:c r="H469" s="19" t="str">
        <x:v>胡敏文</x:v>
      </x:c>
      <x:c r="I469" s="19" t="str">
        <x:v>2025-08-27</x:v>
      </x:c>
      <x:c r="J469" s="19" t="str">
        <x:v>https://www.p5w.net/roll/company/202508/t20250827_6389625.htm</x:v>
      </x:c>
      <x:c r="K469" s="19" t="str">
        <x:v>https://www.p5w.net/roll/company/202508/t20250827_6389625.htm</x:v>
      </x:c>
      <x:c r="L469" s="19" t="str">
        <x:v>data/derived/narrative-risk-r01-r04-20260826/evidence/media-fulltext/cambricon/media-cambricon-8bc149f0481b.txt</x:v>
      </x:c>
      <x:c r="M469" s="19" t="str">
        <x:v>a585ad6d1c023c1d9e0003e76c36e62073ee4327236e714f789d4e85e0313b59</x:v>
      </x:c>
      <x:c r="N469" s="19" t="n">
        <x:v>377</x:v>
      </x:c>
      <x:c r="O469" s="19" t="str">
        <x:v>third-party-fulltext</x:v>
      </x:c>
      <x:c r="P469" s="33" t="b">
        <x:v>1</x:v>
      </x:c>
      <x:c r="Q469" s="19" t="n">
        <x:v>2</x:v>
      </x:c>
      <x:c r="R469" s="19" t="str">
        <x:v>invalid-duplicate-source-id</x:v>
      </x:c>
    </x:row>
    <x:row r="470" ht="15" hidden="0" customHeight="1">
      <x:c r="A470" s="19" t="str">
        <x:v>R01–R04审计</x:v>
      </x:c>
      <x:c r="B470" s="19" t="str">
        <x:v>media-candidate-zuojiang-284751c9de57</x:v>
      </x:c>
      <x:c r="C470" s="19" t="str">
        <x:v>左江科技</x:v>
      </x:c>
      <x:c r="D470" s="19" t="str">
        <x:v>权威媒体候选</x:v>
      </x:c>
      <x:c r="E470" s="19" t="str">
        <x:v>10月24日软件开发行业十大熊股一览</x:v>
      </x:c>
      <x:c r="F470" s="19"/>
      <x:c r="G470" s="19"/>
      <x:c r="H470" s="19"/>
      <x:c r="I470" s="19" t="str">
        <x:v>2023-10-24</x:v>
      </x:c>
      <x:c r="J470" s="19" t="str">
        <x:v>https://www.p5w.net/roll/zqzx/202310/t20231025_5804882.htm</x:v>
      </x:c>
      <x:c r="K470" s="19" t="str">
        <x:v>https://www.p5w.net/roll/zqzx/202310/t20231025_5804882.htm</x:v>
      </x:c>
      <x:c r="L470" s="19"/>
      <x:c r="M470" s="19"/>
      <x:c r="N470" s="19"/>
      <x:c r="O470" s="19" t="str">
        <x:v>candidate-only</x:v>
      </x:c>
      <x:c r="P470" s="33" t="b">
        <x:v>0</x:v>
      </x:c>
      <x:c r="Q470" s="19" t="n">
        <x:v>1</x:v>
      </x:c>
      <x:c r="R470" s="19" t="str">
        <x:v>conditional-local-file-unavailable</x:v>
      </x:c>
    </x:row>
    <x:row r="471" ht="15" hidden="0" customHeight="1">
      <x:c r="A471" s="19" t="str">
        <x:v>R01–R04审计</x:v>
      </x:c>
      <x:c r="B471" s="19" t="str">
        <x:v>media-candidate-zuojiang-5dcfec5e5158</x:v>
      </x:c>
      <x:c r="C471" s="19" t="str">
        <x:v>左江科技</x:v>
      </x:c>
      <x:c r="D471" s="19" t="str">
        <x:v>权威媒体候选</x:v>
      </x:c>
      <x:c r="E471" s="19" t="str">
        <x:v>8月4日软件开发行业七大熊股一览</x:v>
      </x:c>
      <x:c r="F471" s="19"/>
      <x:c r="G471" s="19"/>
      <x:c r="H471" s="19"/>
      <x:c r="I471" s="19" t="str">
        <x:v>2023-08-04</x:v>
      </x:c>
      <x:c r="J471" s="19" t="str">
        <x:v>https://www.p5w.net/roll/zqzx/202308/t20230804_5693653.htm</x:v>
      </x:c>
      <x:c r="K471" s="19" t="str">
        <x:v>https://www.p5w.net/roll/zqzx/202308/t20230804_5693653.htm</x:v>
      </x:c>
      <x:c r="L471" s="19"/>
      <x:c r="M471" s="19"/>
      <x:c r="N471" s="19"/>
      <x:c r="O471" s="19" t="str">
        <x:v>candidate-only</x:v>
      </x:c>
      <x:c r="P471" s="33" t="b">
        <x:v>0</x:v>
      </x:c>
      <x:c r="Q471" s="19" t="n">
        <x:v>1</x:v>
      </x:c>
      <x:c r="R471" s="19" t="str">
        <x:v>conditional-local-file-unavailable</x:v>
      </x:c>
    </x:row>
    <x:row r="472" ht="21.600000381469727" hidden="0" customHeight="1">
      <x:c r="A472" s="19" t="str">
        <x:v>R01–R04审计</x:v>
      </x:c>
      <x:c r="B472" s="19" t="str">
        <x:v>media-zuojiang-678446f18f09</x:v>
      </x:c>
      <x:c r="C472" s="19" t="str">
        <x:v>左江科技</x:v>
      </x:c>
      <x:c r="D472" s="19" t="str">
        <x:v>权威媒体</x:v>
      </x:c>
      <x:c r="E472" s="19" t="str">
        <x:v>本周盘点（7.3-7.7）：*ST左江周跌4.66%，主力资金合计净流出656.49万元</x:v>
      </x:c>
      <x:c r="F472" s="19" t="str">
        <x:v>证券之星</x:v>
      </x:c>
      <x:c r="G472" s="19" t="str">
        <x:v>证券之星</x:v>
      </x:c>
      <x:c r="H472" s="19"/>
      <x:c r="I472" s="19" t="str">
        <x:v>2023-07-07</x:v>
      </x:c>
      <x:c r="J472" s="19" t="str">
        <x:v>https://www.p5w.net/roll/zqzx/202307/t20230708_5651688.htm</x:v>
      </x:c>
      <x:c r="K472" s="19" t="str">
        <x:v>https://www.p5w.net/roll/zqzx/202307/t20230708_5651688.htm</x:v>
      </x:c>
      <x:c r="L472" s="19" t="str">
        <x:v>data/derived/narrative-risk-r01-r04-20260826/evidence/media-fulltext/zuojiang/media-zuojiang-678446f18f09.txt</x:v>
      </x:c>
      <x:c r="M472" s="19" t="str">
        <x:v>2e83423c70df21255c5622925b3d24680a0caa7e7a1fbe7ad41ea753db4db2c2</x:v>
      </x:c>
      <x:c r="N472" s="19" t="n">
        <x:v>253</x:v>
      </x:c>
      <x:c r="O472" s="19" t="str">
        <x:v>candidate-only</x:v>
      </x:c>
      <x:c r="P472" s="33" t="b">
        <x:v>0</x:v>
      </x:c>
      <x:c r="Q472" s="19" t="n">
        <x:v>1</x:v>
      </x:c>
      <x:c r="R472" s="19" t="str">
        <x:v>conditional-local-file-unavailable</x:v>
      </x:c>
    </x:row>
    <x:row r="473" ht="15" hidden="0" customHeight="1">
      <x:c r="A473" s="19" t="str">
        <x:v>R01–R04审计</x:v>
      </x:c>
      <x:c r="B473" s="19" t="str">
        <x:v>media-candidate-bailitannheng-b1505053f23c</x:v>
      </x:c>
      <x:c r="C473" s="19" t="str">
        <x:v>百利天恒</x:v>
      </x:c>
      <x:c r="D473" s="19" t="str">
        <x:v>权威媒体候选</x:v>
      </x:c>
      <x:c r="E473" s="19" t="str">
        <x:v>创新药“中国首发”密集落地 三大因素驱动产业跃升</x:v>
      </x:c>
      <x:c r="F473" s="19"/>
      <x:c r="G473" s="19"/>
      <x:c r="H473" s="19"/>
      <x:c r="I473" s="19" t="str">
        <x:v>2026-08-11</x:v>
      </x:c>
      <x:c r="J473" s="19" t="str">
        <x:v>https://www.p5w.net/roll/industry/202608/t20260811_6492585.htm</x:v>
      </x:c>
      <x:c r="K473" s="19" t="str">
        <x:v>https://www.p5w.net/roll/industry/202608/t20260811_6492585.htm</x:v>
      </x:c>
      <x:c r="L473" s="19"/>
      <x:c r="M473" s="19"/>
      <x:c r="N473" s="19"/>
      <x:c r="O473" s="19" t="str">
        <x:v>candidate-only</x:v>
      </x:c>
      <x:c r="P473" s="33" t="b">
        <x:v>0</x:v>
      </x:c>
      <x:c r="Q473" s="19" t="n">
        <x:v>1</x:v>
      </x:c>
      <x:c r="R473" s="19" t="str">
        <x:v>conditional-local-file-unavailable</x:v>
      </x:c>
    </x:row>
    <x:row r="474" ht="15" hidden="0" customHeight="1">
      <x:c r="A474" s="19" t="str">
        <x:v>R01–R04审计</x:v>
      </x:c>
      <x:c r="B474" s="19" t="str">
        <x:v>media-candidate-bailitannheng-052b9a63d03f</x:v>
      </x:c>
      <x:c r="C474" s="19" t="str">
        <x:v>百利天恒</x:v>
      </x:c>
      <x:c r="D474" s="19" t="str">
        <x:v>权威媒体候选</x:v>
      </x:c>
      <x:c r="E474" s="19" t="str">
        <x:v>1000%！百济神州，利润飙升</x:v>
      </x:c>
      <x:c r="F474" s="19"/>
      <x:c r="G474" s="19"/>
      <x:c r="H474" s="19"/>
      <x:c r="I474" s="19" t="str">
        <x:v>2026-08-06</x:v>
      </x:c>
      <x:c r="J474" s="19" t="str">
        <x:v>https://www.p5w.net/roll/pcj/202608/t20260807_6491642.htm</x:v>
      </x:c>
      <x:c r="K474" s="19" t="str">
        <x:v>https://www.p5w.net/roll/pcj/202608/t20260807_6491642.htm</x:v>
      </x:c>
      <x:c r="L474" s="19"/>
      <x:c r="M474" s="19"/>
      <x:c r="N474" s="19"/>
      <x:c r="O474" s="19" t="str">
        <x:v>candidate-only</x:v>
      </x:c>
      <x:c r="P474" s="33" t="b">
        <x:v>0</x:v>
      </x:c>
      <x:c r="Q474" s="19" t="n">
        <x:v>1</x:v>
      </x:c>
      <x:c r="R474" s="19" t="str">
        <x:v>conditional-local-file-unavailable</x:v>
      </x:c>
    </x:row>
    <x:row r="475" ht="15" hidden="0" customHeight="1">
      <x:c r="A475" s="19" t="str">
        <x:v>R01–R04审计</x:v>
      </x:c>
      <x:c r="B475" s="19" t="str">
        <x:v>media-candidate-bailitannheng-01cbe42bdd73</x:v>
      </x:c>
      <x:c r="C475" s="19" t="str">
        <x:v>百利天恒</x:v>
      </x:c>
      <x:c r="D475" s="19" t="str">
        <x:v>权威媒体候选</x:v>
      </x:c>
      <x:c r="E475" s="19" t="str">
        <x:v>科创板七年蝶变：资本市场如何浇灌出一片“硬科技”森林？</x:v>
      </x:c>
      <x:c r="F475" s="19"/>
      <x:c r="G475" s="19"/>
      <x:c r="H475" s="19"/>
      <x:c r="I475" s="19" t="str">
        <x:v>2026-07-22</x:v>
      </x:c>
      <x:c r="J475" s="19" t="str">
        <x:v>https://www.p5w.net/roll/zqzx/202607/t20260722_6487778.htm</x:v>
      </x:c>
      <x:c r="K475" s="19" t="str">
        <x:v>https://www.p5w.net/roll/zqzx/202607/t20260722_6487778.htm</x:v>
      </x:c>
      <x:c r="L475" s="19"/>
      <x:c r="M475" s="19"/>
      <x:c r="N475" s="19"/>
      <x:c r="O475" s="19" t="str">
        <x:v>candidate-only</x:v>
      </x:c>
      <x:c r="P475" s="33" t="b">
        <x:v>0</x:v>
      </x:c>
      <x:c r="Q475" s="19" t="n">
        <x:v>1</x:v>
      </x:c>
      <x:c r="R475" s="19" t="str">
        <x:v>conditional-local-file-unavailable</x:v>
      </x:c>
    </x:row>
    <x:row r="476" ht="15" hidden="0" customHeight="1">
      <x:c r="A476" s="19" t="str">
        <x:v>R01–R04审计</x:v>
      </x:c>
      <x:c r="B476" s="19" t="str">
        <x:v>media-candidate-bailitannheng-3688bcf49dd6</x:v>
      </x:c>
      <x:c r="C476" s="19" t="str">
        <x:v>百利天恒</x:v>
      </x:c>
      <x:c r="D476" s="19" t="str">
        <x:v>权威媒体候选</x:v>
      </x:c>
      <x:c r="E476" s="19" t="str">
        <x:v>科创板开市七周年：制度包容性润物无声 “硬科技军团”拔节生长</x:v>
      </x:c>
      <x:c r="F476" s="19"/>
      <x:c r="G476" s="19"/>
      <x:c r="H476" s="19"/>
      <x:c r="I476" s="19" t="str">
        <x:v>2026-07-22</x:v>
      </x:c>
      <x:c r="J476" s="19" t="str">
        <x:v>https://www.p5w.net/roll/stock/202607/t20260722_6487559.htm</x:v>
      </x:c>
      <x:c r="K476" s="19" t="str">
        <x:v>https://www.p5w.net/roll/stock/202607/t20260722_6487559.htm</x:v>
      </x:c>
      <x:c r="L476" s="19"/>
      <x:c r="M476" s="19"/>
      <x:c r="N476" s="19"/>
      <x:c r="O476" s="19" t="str">
        <x:v>candidate-only</x:v>
      </x:c>
      <x:c r="P476" s="33" t="b">
        <x:v>0</x:v>
      </x:c>
      <x:c r="Q476" s="19" t="n">
        <x:v>1</x:v>
      </x:c>
      <x:c r="R476" s="19" t="str">
        <x:v>conditional-local-file-unavailable</x:v>
      </x:c>
    </x:row>
    <x:row r="477" ht="21.600000381469727" hidden="0" customHeight="1">
      <x:c r="A477" s="19" t="str">
        <x:v>R01–R04审计</x:v>
      </x:c>
      <x:c r="B477" s="19" t="str">
        <x:v>media-candidate-bailitannheng-d3040264f751</x:v>
      </x:c>
      <x:c r="C477" s="19" t="str">
        <x:v>百利天恒</x:v>
      </x:c>
      <x:c r="D477" s="19" t="str">
        <x:v>权威媒体候选</x:v>
      </x:c>
      <x:c r="E477" s="19" t="str">
        <x:v>创新药板块走强，半导体板块延续调整，科创50ETF易方达（588080）近5日“吸金”超30亿元</x:v>
      </x:c>
      <x:c r="F477" s="19"/>
      <x:c r="G477" s="19"/>
      <x:c r="H477" s="19"/>
      <x:c r="I477" s="19" t="str">
        <x:v>2026-07-20</x:v>
      </x:c>
      <x:c r="J477" s="19" t="str">
        <x:v>https://www.p5w.net/roll/zqzx/202607/t20260720_6486933.htm</x:v>
      </x:c>
      <x:c r="K477" s="19" t="str">
        <x:v>https://www.p5w.net/roll/zqzx/202607/t20260720_6486933.htm</x:v>
      </x:c>
      <x:c r="L477" s="19"/>
      <x:c r="M477" s="19"/>
      <x:c r="N477" s="19"/>
      <x:c r="O477" s="19" t="str">
        <x:v>candidate-only</x:v>
      </x:c>
      <x:c r="P477" s="33" t="b">
        <x:v>0</x:v>
      </x:c>
      <x:c r="Q477" s="19" t="n">
        <x:v>1</x:v>
      </x:c>
      <x:c r="R477" s="19" t="str">
        <x:v>conditional-local-file-unavailable</x:v>
      </x:c>
    </x:row>
    <x:row r="478" ht="15" hidden="0" customHeight="1">
      <x:c r="A478" s="19" t="str">
        <x:v>R01–R04审计</x:v>
      </x:c>
      <x:c r="B478" s="19" t="str">
        <x:v>media-candidate-bailitannheng-3ed02049adda</x:v>
      </x:c>
      <x:c r="C478" s="19" t="str">
        <x:v>百利天恒</x:v>
      </x:c>
      <x:c r="D478" s="19" t="str">
        <x:v>权威媒体候选</x:v>
      </x:c>
      <x:c r="E478" s="19" t="str">
        <x:v>日内成交额居同类第一，科创医药ETF华夏（588130）连续16日吸金、交投活跃</x:v>
      </x:c>
      <x:c r="F478" s="19"/>
      <x:c r="G478" s="19"/>
      <x:c r="H478" s="19"/>
      <x:c r="I478" s="19" t="str">
        <x:v>2026-07-20</x:v>
      </x:c>
      <x:c r="J478" s="19" t="str">
        <x:v>https://www.p5w.net/roll/zqzx/202607/t20260720_6486733.htm</x:v>
      </x:c>
      <x:c r="K478" s="19" t="str">
        <x:v>https://www.p5w.net/roll/zqzx/202607/t20260720_6486733.htm</x:v>
      </x:c>
      <x:c r="L478" s="19"/>
      <x:c r="M478" s="19"/>
      <x:c r="N478" s="19"/>
      <x:c r="O478" s="19" t="str">
        <x:v>candidate-only</x:v>
      </x:c>
      <x:c r="P478" s="33" t="b">
        <x:v>0</x:v>
      </x:c>
      <x:c r="Q478" s="19" t="n">
        <x:v>1</x:v>
      </x:c>
      <x:c r="R478" s="19" t="str">
        <x:v>conditional-local-file-unavailable</x:v>
      </x:c>
    </x:row>
    <x:row r="479" ht="15" hidden="0" customHeight="1">
      <x:c r="A479" s="19" t="str">
        <x:v>R01–R04审计</x:v>
      </x:c>
      <x:c r="B479" s="19" t="str">
        <x:v>media-candidate-bailitannheng-97dcb4d2f255</x:v>
      </x:c>
      <x:c r="C479" s="19" t="str">
        <x:v>百利天恒</x:v>
      </x:c>
      <x:c r="D479" s="19" t="str">
        <x:v>权威媒体候选</x:v>
      </x:c>
      <x:c r="E479" s="19" t="str">
        <x:v>多重利好催化、资金持续涌入，科创医药ETF华夏（588130）盘中涨超5%</x:v>
      </x:c>
      <x:c r="F479" s="19"/>
      <x:c r="G479" s="19"/>
      <x:c r="H479" s="19"/>
      <x:c r="I479" s="19" t="str">
        <x:v>2026-07-15</x:v>
      </x:c>
      <x:c r="J479" s="19" t="str">
        <x:v>https://www.p5w.net/roll/zqzx/202607/t20260715_6485456.htm</x:v>
      </x:c>
      <x:c r="K479" s="19" t="str">
        <x:v>https://www.p5w.net/roll/zqzx/202607/t20260715_6485456.htm</x:v>
      </x:c>
      <x:c r="L479" s="19"/>
      <x:c r="M479" s="19"/>
      <x:c r="N479" s="19"/>
      <x:c r="O479" s="19" t="str">
        <x:v>candidate-only</x:v>
      </x:c>
      <x:c r="P479" s="33" t="b">
        <x:v>0</x:v>
      </x:c>
      <x:c r="Q479" s="19" t="n">
        <x:v>1</x:v>
      </x:c>
      <x:c r="R479" s="19" t="str">
        <x:v>conditional-local-file-unavailable</x:v>
      </x:c>
    </x:row>
    <x:row r="480" ht="15" hidden="0" customHeight="1">
      <x:c r="A480" s="19" t="str">
        <x:v>R01–R04审计</x:v>
      </x:c>
      <x:c r="B480" s="19" t="str">
        <x:v>media-candidate-bailitannheng-66da089d4cd5</x:v>
      </x:c>
      <x:c r="C480" s="19" t="str">
        <x:v>百利天恒</x:v>
      </x:c>
      <x:c r="D480" s="19" t="str">
        <x:v>权威媒体候选</x:v>
      </x:c>
      <x:c r="E480" s="19" t="str">
        <x:v>“产业向上、估值低位”？中国创新药不可不知的行业新格局</x:v>
      </x:c>
      <x:c r="F480" s="19"/>
      <x:c r="G480" s="19"/>
      <x:c r="H480" s="19"/>
      <x:c r="I480" s="19" t="str">
        <x:v>2026-07-06</x:v>
      </x:c>
      <x:c r="J480" s="19" t="str">
        <x:v>https://www.p5w.net/roll/fund/202607/t20260706_6483291.htm</x:v>
      </x:c>
      <x:c r="K480" s="19" t="str">
        <x:v>https://www.p5w.net/roll/fund/202607/t20260706_6483291.htm</x:v>
      </x:c>
      <x:c r="L480" s="19"/>
      <x:c r="M480" s="19"/>
      <x:c r="N480" s="19"/>
      <x:c r="O480" s="19" t="str">
        <x:v>candidate-only</x:v>
      </x:c>
      <x:c r="P480" s="33" t="b">
        <x:v>0</x:v>
      </x:c>
      <x:c r="Q480" s="19" t="n">
        <x:v>1</x:v>
      </x:c>
      <x:c r="R480" s="19" t="str">
        <x:v>conditional-local-file-unavailable</x:v>
      </x:c>
    </x:row>
    <x:row r="481" ht="15" hidden="0" customHeight="1">
      <x:c r="A481" s="19" t="str">
        <x:v>R01–R04审计</x:v>
      </x:c>
      <x:c r="B481" s="19" t="str">
        <x:v>media-candidate-bailitannheng-184edd7c3b1d</x:v>
      </x:c>
      <x:c r="C481" s="19" t="str">
        <x:v>百利天恒</x:v>
      </x:c>
      <x:c r="D481" s="19" t="str">
        <x:v>权威媒体候选</x:v>
      </x:c>
      <x:c r="E481" s="19" t="str">
        <x:v>成果亮眼遭遇股价背离 百余药企掀起超百亿回购</x:v>
      </x:c>
      <x:c r="F481" s="19"/>
      <x:c r="G481" s="19"/>
      <x:c r="H481" s="19"/>
      <x:c r="I481" s="19" t="str">
        <x:v>2026-06-22</x:v>
      </x:c>
      <x:c r="J481" s="19" t="str">
        <x:v>https://www.p5w.net/roll/company/202606/t20260622_6480454.htm</x:v>
      </x:c>
      <x:c r="K481" s="19" t="str">
        <x:v>https://www.p5w.net/roll/company/202606/t20260622_6480454.htm</x:v>
      </x:c>
      <x:c r="L481" s="19"/>
      <x:c r="M481" s="19"/>
      <x:c r="N481" s="19"/>
      <x:c r="O481" s="19" t="str">
        <x:v>candidate-only</x:v>
      </x:c>
      <x:c r="P481" s="33" t="b">
        <x:v>0</x:v>
      </x:c>
      <x:c r="Q481" s="19" t="n">
        <x:v>1</x:v>
      </x:c>
      <x:c r="R481" s="19" t="str">
        <x:v>conditional-local-file-unavailable</x:v>
      </x:c>
    </x:row>
    <x:row r="482" ht="15" hidden="0" customHeight="1">
      <x:c r="A482" s="19" t="str">
        <x:v>R01–R04审计</x:v>
      </x:c>
      <x:c r="B482" s="19" t="str">
        <x:v>media-candidate-bailitannheng-5ca26526bebc</x:v>
      </x:c>
      <x:c r="C482" s="19" t="str">
        <x:v>百利天恒</x:v>
      </x:c>
      <x:c r="D482" s="19" t="str">
        <x:v>权威媒体候选</x:v>
      </x:c>
      <x:c r="E482" s="19" t="str">
        <x:v>数量创新高 成果再突破 中国创新药企闪耀ASCO舞台</x:v>
      </x:c>
      <x:c r="F482" s="19"/>
      <x:c r="G482" s="19"/>
      <x:c r="H482" s="19"/>
      <x:c r="I482" s="19" t="str">
        <x:v>2026-06-02</x:v>
      </x:c>
      <x:c r="J482" s="19" t="str">
        <x:v>https://www.p5w.net/roll/company/202606/t20260602_6475842.htm</x:v>
      </x:c>
      <x:c r="K482" s="19" t="str">
        <x:v>https://www.p5w.net/roll/company/202606/t20260602_6475842.htm</x:v>
      </x:c>
      <x:c r="L482" s="19"/>
      <x:c r="M482" s="19"/>
      <x:c r="N482" s="19"/>
      <x:c r="O482" s="19" t="str">
        <x:v>candidate-only</x:v>
      </x:c>
      <x:c r="P482" s="33" t="b">
        <x:v>0</x:v>
      </x:c>
      <x:c r="Q482" s="19" t="n">
        <x:v>1</x:v>
      </x:c>
      <x:c r="R482" s="19" t="str">
        <x:v>conditional-local-file-unavailable</x:v>
      </x:c>
    </x:row>
    <x:row r="483" ht="15" hidden="0" customHeight="1">
      <x:c r="A483" s="19" t="str">
        <x:v>R01–R04审计</x:v>
      </x:c>
      <x:c r="B483" s="19" t="str">
        <x:v>media-candidate-bailitannheng-5040b7c42b7c</x:v>
      </x:c>
      <x:c r="C483" s="19" t="str">
        <x:v>百利天恒</x:v>
      </x:c>
      <x:c r="D483" s="19" t="str">
        <x:v>权威媒体候选</x:v>
      </x:c>
      <x:c r="E483" s="19" t="str">
        <x:v>美伊冲突局势降温，A500ETF华夏（512050）持续走强，聚焦A股行业龙头</x:v>
      </x:c>
      <x:c r="F483" s="19"/>
      <x:c r="G483" s="19"/>
      <x:c r="H483" s="19"/>
      <x:c r="I483" s="19" t="str">
        <x:v>2026-04-01</x:v>
      </x:c>
      <x:c r="J483" s="19" t="str">
        <x:v>https://www.p5w.net/roll/zqzx/202604/t20260401_6449233.htm</x:v>
      </x:c>
      <x:c r="K483" s="19" t="str">
        <x:v>https://www.p5w.net/roll/zqzx/202604/t20260401_6449233.htm</x:v>
      </x:c>
      <x:c r="L483" s="19"/>
      <x:c r="M483" s="19"/>
      <x:c r="N483" s="19"/>
      <x:c r="O483" s="19" t="str">
        <x:v>candidate-only</x:v>
      </x:c>
      <x:c r="P483" s="33" t="b">
        <x:v>0</x:v>
      </x:c>
      <x:c r="Q483" s="19" t="n">
        <x:v>1</x:v>
      </x:c>
      <x:c r="R483" s="19" t="str">
        <x:v>conditional-local-file-unavailable</x:v>
      </x:c>
    </x:row>
    <x:row r="484" ht="15" hidden="0" customHeight="1">
      <x:c r="A484" s="19" t="str">
        <x:v>R01–R04审计</x:v>
      </x:c>
      <x:c r="B484" s="19" t="str">
        <x:v>media-candidate-bailitannheng-ae58924ac916</x:v>
      </x:c>
      <x:c r="C484" s="19" t="str">
        <x:v>百利天恒</x:v>
      </x:c>
      <x:c r="D484" s="19" t="str">
        <x:v>权威媒体候选</x:v>
      </x:c>
      <x:c r="E484" s="19" t="str">
        <x:v>药企2025年“成绩单”揭晓，盈利改善迹象显著</x:v>
      </x:c>
      <x:c r="F484" s="19"/>
      <x:c r="G484" s="19"/>
      <x:c r="H484" s="19"/>
      <x:c r="I484" s="19" t="str">
        <x:v>2026-03-04</x:v>
      </x:c>
      <x:c r="J484" s="19" t="str">
        <x:v>https://www.p5w.net/roll/zqzx/202603/t20260304_6440570.htm</x:v>
      </x:c>
      <x:c r="K484" s="19" t="str">
        <x:v>https://www.p5w.net/roll/zqzx/202603/t20260304_6440570.htm</x:v>
      </x:c>
      <x:c r="L484" s="19"/>
      <x:c r="M484" s="19"/>
      <x:c r="N484" s="19"/>
      <x:c r="O484" s="19" t="str">
        <x:v>candidate-only</x:v>
      </x:c>
      <x:c r="P484" s="33" t="b">
        <x:v>0</x:v>
      </x:c>
      <x:c r="Q484" s="19" t="n">
        <x:v>1</x:v>
      </x:c>
      <x:c r="R484" s="19" t="str">
        <x:v>conditional-local-file-unavailable</x:v>
      </x:c>
    </x:row>
    <x:row r="485" ht="15" hidden="0" customHeight="1">
      <x:c r="A485" s="19" t="str">
        <x:v>R01–R04审计</x:v>
      </x:c>
      <x:c r="B485" s="19" t="str">
        <x:v>media-candidate-bailitannheng-1a8c8678e8fb</x:v>
      </x:c>
      <x:c r="C485" s="19" t="str">
        <x:v>百利天恒</x:v>
      </x:c>
      <x:c r="D485" s="19" t="str">
        <x:v>权威媒体候选</x:v>
      </x:c>
      <x:c r="E485" s="19" t="str">
        <x:v>创新药里程碑款接连落地 行业走向收益可持续新范式</x:v>
      </x:c>
      <x:c r="F485" s="19"/>
      <x:c r="G485" s="19"/>
      <x:c r="H485" s="19"/>
      <x:c r="I485" s="19" t="str">
        <x:v>2026-01-26</x:v>
      </x:c>
      <x:c r="J485" s="19" t="str">
        <x:v>https://www.p5w.net/roll/company/202601/t20260126_6435524.htm</x:v>
      </x:c>
      <x:c r="K485" s="19" t="str">
        <x:v>https://www.p5w.net/roll/company/202601/t20260126_6435524.htm</x:v>
      </x:c>
      <x:c r="L485" s="19"/>
      <x:c r="M485" s="19"/>
      <x:c r="N485" s="19"/>
      <x:c r="O485" s="19" t="str">
        <x:v>candidate-only</x:v>
      </x:c>
      <x:c r="P485" s="33" t="b">
        <x:v>0</x:v>
      </x:c>
      <x:c r="Q485" s="19" t="n">
        <x:v>1</x:v>
      </x:c>
      <x:c r="R485" s="19" t="str">
        <x:v>conditional-local-file-unavailable</x:v>
      </x:c>
    </x:row>
    <x:row r="486" ht="15" hidden="0" customHeight="1">
      <x:c r="A486" s="19" t="str">
        <x:v>R01–R04审计</x:v>
      </x:c>
      <x:c r="B486" s="19" t="str">
        <x:v>media-candidate-bailitannheng-b676a4495132</x:v>
      </x:c>
      <x:c r="C486" s="19" t="str">
        <x:v>百利天恒</x:v>
      </x:c>
      <x:c r="D486" s="19" t="str">
        <x:v>权威媒体候选</x:v>
      </x:c>
      <x:c r="E486" s="19" t="str">
        <x:v>中欧葛兰2025年三季报解读：旗下基金跑赢基准，坚守医药投资主线</x:v>
      </x:c>
      <x:c r="F486" s="19"/>
      <x:c r="G486" s="19"/>
      <x:c r="H486" s="19"/>
      <x:c r="I486" s="19" t="str">
        <x:v>2026-01-08</x:v>
      </x:c>
      <x:c r="J486" s="19" t="str">
        <x:v>https://www.p5w.net/roll/finance/202601/t20260108_6432645.htm</x:v>
      </x:c>
      <x:c r="K486" s="19" t="str">
        <x:v>https://www.p5w.net/roll/finance/202601/t20260108_6432645.htm</x:v>
      </x:c>
      <x:c r="L486" s="19"/>
      <x:c r="M486" s="19"/>
      <x:c r="N486" s="19"/>
      <x:c r="O486" s="19" t="str">
        <x:v>candidate-only</x:v>
      </x:c>
      <x:c r="P486" s="33" t="b">
        <x:v>0</x:v>
      </x:c>
      <x:c r="Q486" s="19" t="n">
        <x:v>1</x:v>
      </x:c>
      <x:c r="R486" s="19" t="str">
        <x:v>conditional-local-file-unavailable</x:v>
      </x:c>
    </x:row>
    <x:row r="487" ht="15" hidden="0" customHeight="1">
      <x:c r="A487" s="19" t="str">
        <x:v>R01–R04审计</x:v>
      </x:c>
      <x:c r="B487" s="19" t="str">
        <x:v>media-candidate-bailitannheng-638b4f9cb211</x:v>
      </x:c>
      <x:c r="C487" s="19" t="str">
        <x:v>百利天恒</x:v>
      </x:c>
      <x:c r="D487" s="19" t="str">
        <x:v>权威媒体候选</x:v>
      </x:c>
      <x:c r="E487" s="19" t="str">
        <x:v>002055将被实施其他风险警示！超1600亿元解禁洪流来袭，3股压力大</x:v>
      </x:c>
      <x:c r="F487" s="19"/>
      <x:c r="G487" s="19"/>
      <x:c r="H487" s="19"/>
      <x:c r="I487" s="19" t="str">
        <x:v>2026-01-03</x:v>
      </x:c>
      <x:c r="J487" s="19" t="str">
        <x:v>https://www.p5w.net/roll/company/202601/t20260103_6431696.htm</x:v>
      </x:c>
      <x:c r="K487" s="19" t="str">
        <x:v>https://www.p5w.net/roll/company/202601/t20260103_6431696.htm</x:v>
      </x:c>
      <x:c r="L487" s="19"/>
      <x:c r="M487" s="19"/>
      <x:c r="N487" s="19"/>
      <x:c r="O487" s="19" t="str">
        <x:v>candidate-only</x:v>
      </x:c>
      <x:c r="P487" s="33" t="b">
        <x:v>0</x:v>
      </x:c>
      <x:c r="Q487" s="19" t="n">
        <x:v>1</x:v>
      </x:c>
      <x:c r="R487" s="19" t="str">
        <x:v>conditional-local-file-unavailable</x:v>
      </x:c>
    </x:row>
    <x:row r="488" ht="15" hidden="0" customHeight="1">
      <x:c r="A488" s="19" t="str">
        <x:v>R01–R04审计</x:v>
      </x:c>
      <x:c r="B488" s="19" t="str">
        <x:v>media-candidate-bailitannheng-256244261f66</x:v>
      </x:c>
      <x:c r="C488" s="19" t="str">
        <x:v>百利天恒</x:v>
      </x:c>
      <x:c r="D488" s="19" t="str">
        <x:v>权威媒体候选</x:v>
      </x:c>
      <x:c r="E488" s="19" t="str">
        <x:v>研发投入100-150亿！十五五，这家龙头药企拼了</x:v>
      </x:c>
      <x:c r="F488" s="19"/>
      <x:c r="G488" s="19"/>
      <x:c r="H488" s="19"/>
      <x:c r="I488" s="19" t="str">
        <x:v>2025-12-30</x:v>
      </x:c>
      <x:c r="J488" s="19" t="str">
        <x:v>https://www.p5w.net/roll/finance/202512/t20251230_6431162.htm</x:v>
      </x:c>
      <x:c r="K488" s="19" t="str">
        <x:v>https://www.p5w.net/roll/finance/202512/t20251230_6431162.htm</x:v>
      </x:c>
      <x:c r="L488" s="19"/>
      <x:c r="M488" s="19"/>
      <x:c r="N488" s="19"/>
      <x:c r="O488" s="19" t="str">
        <x:v>candidate-only</x:v>
      </x:c>
      <x:c r="P488" s="33" t="b">
        <x:v>0</x:v>
      </x:c>
      <x:c r="Q488" s="19" t="n">
        <x:v>1</x:v>
      </x:c>
      <x:c r="R488" s="19" t="str">
        <x:v>conditional-local-file-unavailable</x:v>
      </x:c>
    </x:row>
    <x:row r="489" ht="15" hidden="0" customHeight="1">
      <x:c r="A489" s="19" t="str">
        <x:v>R01–R04审计</x:v>
      </x:c>
      <x:c r="B489" s="19" t="str">
        <x:v>media-candidate-bailitannheng-4f5614aa12e2</x:v>
      </x:c>
      <x:c r="C489" s="19" t="str">
        <x:v>百利天恒</x:v>
      </x:c>
      <x:c r="D489" s="19" t="str">
        <x:v>权威媒体候选</x:v>
      </x:c>
      <x:c r="E489" s="19" t="str">
        <x:v>德福资本携优质资产入局 莱茵生物进一步完善大健康产业链</x:v>
      </x:c>
      <x:c r="F489" s="19"/>
      <x:c r="G489" s="19"/>
      <x:c r="H489" s="19"/>
      <x:c r="I489" s="19" t="str">
        <x:v>2025-12-24</x:v>
      </x:c>
      <x:c r="J489" s="19" t="str">
        <x:v>https://www.p5w.net/roll/finance/202512/t20251224_6430245.htm</x:v>
      </x:c>
      <x:c r="K489" s="19" t="str">
        <x:v>https://www.p5w.net/roll/finance/202512/t20251224_6430245.htm</x:v>
      </x:c>
      <x:c r="L489" s="19"/>
      <x:c r="M489" s="19"/>
      <x:c r="N489" s="19"/>
      <x:c r="O489" s="19" t="str">
        <x:v>candidate-only</x:v>
      </x:c>
      <x:c r="P489" s="33" t="b">
        <x:v>0</x:v>
      </x:c>
      <x:c r="Q489" s="19" t="n">
        <x:v>1</x:v>
      </x:c>
      <x:c r="R489" s="19" t="str">
        <x:v>conditional-local-file-unavailable</x:v>
      </x:c>
    </x:row>
    <x:row r="490" ht="15" hidden="0" customHeight="1">
      <x:c r="A490" s="19" t="str">
        <x:v>R01–R04审计</x:v>
      </x:c>
      <x:c r="B490" s="19" t="str">
        <x:v>media-candidate-bailitannheng-f00789a82933</x:v>
      </x:c>
      <x:c r="C490" s="19" t="str">
        <x:v>百利天恒</x:v>
      </x:c>
      <x:c r="D490" s="19" t="str">
        <x:v>权威媒体候选</x:v>
      </x:c>
      <x:c r="E490" s="19" t="str">
        <x:v>年内浮盈超百亿 公募定增“擒牛”战绩斐然</x:v>
      </x:c>
      <x:c r="F490" s="19"/>
      <x:c r="G490" s="19"/>
      <x:c r="H490" s="19"/>
      <x:c r="I490" s="19" t="str">
        <x:v>2025-12-22</x:v>
      </x:c>
      <x:c r="J490" s="19" t="str">
        <x:v>https://www.p5w.net/roll/fund/202512/t20251222_6429674.htm</x:v>
      </x:c>
      <x:c r="K490" s="19" t="str">
        <x:v>https://www.p5w.net/roll/fund/202512/t20251222_6429674.htm</x:v>
      </x:c>
      <x:c r="L490" s="19"/>
      <x:c r="M490" s="19"/>
      <x:c r="N490" s="19"/>
      <x:c r="O490" s="19" t="str">
        <x:v>candidate-only</x:v>
      </x:c>
      <x:c r="P490" s="33" t="b">
        <x:v>0</x:v>
      </x:c>
      <x:c r="Q490" s="19" t="n">
        <x:v>1</x:v>
      </x:c>
      <x:c r="R490" s="19" t="str">
        <x:v>conditional-local-file-unavailable</x:v>
      </x:c>
    </x:row>
    <x:row r="491" ht="15" hidden="0" customHeight="1">
      <x:c r="A491" s="19" t="str">
        <x:v>R01–R04审计</x:v>
      </x:c>
      <x:c r="B491" s="19" t="str">
        <x:v>media-candidate-bailitannheng-932831ec4f1b</x:v>
      </x:c>
      <x:c r="C491" s="19" t="str">
        <x:v>百利天恒</x:v>
      </x:c>
      <x:c r="D491" s="19" t="str">
        <x:v>权威媒体候选</x:v>
      </x:c>
      <x:c r="E491" s="19" t="str">
        <x:v>科创板年度回顾：科技自强，资本引擎</x:v>
      </x:c>
      <x:c r="F491" s="19"/>
      <x:c r="G491" s="19"/>
      <x:c r="H491" s="19"/>
      <x:c r="I491" s="19" t="str">
        <x:v>2025-12-16</x:v>
      </x:c>
      <x:c r="J491" s="19" t="str">
        <x:v>https://www.p5w.net/roll/zqzx/202512/t20251216_6428763.htm</x:v>
      </x:c>
      <x:c r="K491" s="19" t="str">
        <x:v>https://www.p5w.net/roll/zqzx/202512/t20251216_6428763.htm</x:v>
      </x:c>
      <x:c r="L491" s="19"/>
      <x:c r="M491" s="19"/>
      <x:c r="N491" s="19"/>
      <x:c r="O491" s="19" t="str">
        <x:v>candidate-only</x:v>
      </x:c>
      <x:c r="P491" s="33" t="b">
        <x:v>0</x:v>
      </x:c>
      <x:c r="Q491" s="19" t="n">
        <x:v>1</x:v>
      </x:c>
      <x:c r="R491" s="19" t="str">
        <x:v>conditional-local-file-unavailable</x:v>
      </x:c>
    </x:row>
    <x:row r="492" ht="21.600000381469727" hidden="0" customHeight="1">
      <x:c r="A492" s="19" t="str">
        <x:v>R01–R04审计</x:v>
      </x:c>
      <x:c r="B492" s="19" t="str">
        <x:v>media-candidate-bailitannheng-b529cbfec75b</x:v>
      </x:c>
      <x:c r="C492" s="19" t="str">
        <x:v>百利天恒</x:v>
      </x:c>
      <x:c r="D492" s="19" t="str">
        <x:v>权威媒体候选</x:v>
      </x:c>
      <x:c r="E492" s="19" t="str">
        <x:v>DeepSeek-V3.2正式发布，科技主线有望延续，关注科创综指ETF兴业（589050.SH）后市布局机会</x:v>
      </x:c>
      <x:c r="F492" s="19"/>
      <x:c r="G492" s="19"/>
      <x:c r="H492" s="19"/>
      <x:c r="I492" s="19" t="str">
        <x:v>2025-12-02</x:v>
      </x:c>
      <x:c r="J492" s="19" t="str">
        <x:v>https://www.p5w.net/roll/zqzx/202512/t20251202_6426233.htm</x:v>
      </x:c>
      <x:c r="K492" s="19" t="str">
        <x:v>https://www.p5w.net/roll/zqzx/202512/t20251202_6426233.htm</x:v>
      </x:c>
      <x:c r="L492" s="19"/>
      <x:c r="M492" s="19"/>
      <x:c r="N492" s="19"/>
      <x:c r="O492" s="19" t="str">
        <x:v>candidate-only</x:v>
      </x:c>
      <x:c r="P492" s="33" t="b">
        <x:v>0</x:v>
      </x:c>
      <x:c r="Q492" s="19" t="n">
        <x:v>1</x:v>
      </x:c>
      <x:c r="R492" s="19" t="str">
        <x:v>conditional-local-file-unavailable</x:v>
      </x:c>
    </x:row>
    <x:row r="493" ht="15" hidden="0" customHeight="1">
      <x:c r="A493" s="19" t="str">
        <x:v>R01–R04审计</x:v>
      </x:c>
      <x:c r="B493" s="19" t="str">
        <x:v>media-candidate-bailitannheng-10ffd2143858</x:v>
      </x:c>
      <x:c r="C493" s="19" t="str">
        <x:v>百利天恒</x:v>
      </x:c>
      <x:c r="D493" s="19" t="str">
        <x:v>权威媒体候选</x:v>
      </x:c>
      <x:c r="E493" s="19" t="str">
        <x:v>近70家公司四季度斩获大单，市场热捧“订单牛”</x:v>
      </x:c>
      <x:c r="F493" s="19"/>
      <x:c r="G493" s="19"/>
      <x:c r="H493" s="19"/>
      <x:c r="I493" s="19" t="str">
        <x:v>2025-11-18</x:v>
      </x:c>
      <x:c r="J493" s="19" t="str">
        <x:v>https://www.p5w.net/roll/zqzx/202511/t20251118_6423869.htm</x:v>
      </x:c>
      <x:c r="K493" s="19" t="str">
        <x:v>https://www.p5w.net/roll/zqzx/202511/t20251118_6423869.htm</x:v>
      </x:c>
      <x:c r="L493" s="19"/>
      <x:c r="M493" s="19"/>
      <x:c r="N493" s="19"/>
      <x:c r="O493" s="19" t="str">
        <x:v>candidate-only</x:v>
      </x:c>
      <x:c r="P493" s="33" t="b">
        <x:v>0</x:v>
      </x:c>
      <x:c r="Q493" s="19" t="n">
        <x:v>1</x:v>
      </x:c>
      <x:c r="R493" s="19" t="str">
        <x:v>conditional-local-file-unavailable</x:v>
      </x:c>
    </x:row>
    <x:row r="494" ht="15" hidden="0" customHeight="1">
      <x:c r="A494" s="19" t="str">
        <x:v>R01–R04审计</x:v>
      </x:c>
      <x:c r="B494" s="19" t="str">
        <x:v>media-candidate-bailitannheng-b498117c68a5</x:v>
      </x:c>
      <x:c r="C494" s="19" t="str">
        <x:v>百利天恒</x:v>
      </x:c>
      <x:c r="D494" s="19" t="str">
        <x:v>权威媒体候选</x:v>
      </x:c>
      <x:c r="E494" s="19" t="str">
        <x:v>重大合同成股价“催化剂” 四季度以来近70家公司收获大订单</x:v>
      </x:c>
      <x:c r="F494" s="19"/>
      <x:c r="G494" s="19"/>
      <x:c r="H494" s="19"/>
      <x:c r="I494" s="19" t="str">
        <x:v>2025-11-18</x:v>
      </x:c>
      <x:c r="J494" s="19" t="str">
        <x:v>https://www.p5w.net/roll/company/202511/t20251118_6423729.htm</x:v>
      </x:c>
      <x:c r="K494" s="19" t="str">
        <x:v>https://www.p5w.net/roll/company/202511/t20251118_6423729.htm</x:v>
      </x:c>
      <x:c r="L494" s="19"/>
      <x:c r="M494" s="19"/>
      <x:c r="N494" s="19"/>
      <x:c r="O494" s="19" t="str">
        <x:v>candidate-only</x:v>
      </x:c>
      <x:c r="P494" s="33" t="b">
        <x:v>0</x:v>
      </x:c>
      <x:c r="Q494" s="19" t="n">
        <x:v>1</x:v>
      </x:c>
      <x:c r="R494" s="19" t="str">
        <x:v>conditional-local-file-unavailable</x:v>
      </x:c>
    </x:row>
    <x:row r="495" ht="15" hidden="0" customHeight="1">
      <x:c r="A495" s="19" t="str">
        <x:v>R01–R04审计</x:v>
      </x:c>
      <x:c r="B495" s="19" t="str">
        <x:v>media-candidate-bailitannheng-5e74eb84a11e</x:v>
      </x:c>
      <x:c r="C495" s="19" t="str">
        <x:v>百利天恒</x:v>
      </x:c>
      <x:c r="D495" s="19" t="str">
        <x:v>权威媒体候选</x:v>
      </x:c>
      <x:c r="E495" s="19" t="str">
        <x:v>成长赛道共振“十五五”，如何通过主动型基金参与？</x:v>
      </x:c>
      <x:c r="F495" s="19"/>
      <x:c r="G495" s="19"/>
      <x:c r="H495" s="19"/>
      <x:c r="I495" s="19" t="str">
        <x:v>2025-11-11</x:v>
      </x:c>
      <x:c r="J495" s="19" t="str">
        <x:v>https://www.p5w.net/roll/zqzx/202511/t20251111_6422657.htm</x:v>
      </x:c>
      <x:c r="K495" s="19" t="str">
        <x:v>https://www.p5w.net/roll/zqzx/202511/t20251111_6422657.htm</x:v>
      </x:c>
      <x:c r="L495" s="19"/>
      <x:c r="M495" s="19"/>
      <x:c r="N495" s="19"/>
      <x:c r="O495" s="19" t="str">
        <x:v>candidate-only</x:v>
      </x:c>
      <x:c r="P495" s="33" t="b">
        <x:v>0</x:v>
      </x:c>
      <x:c r="Q495" s="19" t="n">
        <x:v>1</x:v>
      </x:c>
      <x:c r="R495" s="19" t="str">
        <x:v>conditional-local-file-unavailable</x:v>
      </x:c>
    </x:row>
    <x:row r="496" ht="15" hidden="0" customHeight="1">
      <x:c r="A496" s="19" t="str">
        <x:v>R01–R04审计</x:v>
      </x:c>
      <x:c r="B496" s="19" t="str">
        <x:v>media-candidate-bailitannheng-6500bb73006f</x:v>
      </x:c>
      <x:c r="C496" s="19" t="str">
        <x:v>百利天恒</x:v>
      </x:c>
      <x:c r="D496" s="19" t="str">
        <x:v>权威媒体候选</x:v>
      </x:c>
      <x:c r="E496" s="19" t="str">
        <x:v>通威登顶！四川100民企榜单发布 通威股份早盘涨停创年内新高</x:v>
      </x:c>
      <x:c r="F496" s="19"/>
      <x:c r="G496" s="19"/>
      <x:c r="H496" s="19"/>
      <x:c r="I496" s="19" t="str">
        <x:v>2025-11-07</x:v>
      </x:c>
      <x:c r="J496" s="19" t="str">
        <x:v>https://www.p5w.net/roll/company/202511/t20251107_6421960.htm</x:v>
      </x:c>
      <x:c r="K496" s="19" t="str">
        <x:v>https://www.p5w.net/roll/company/202511/t20251107_6421960.htm</x:v>
      </x:c>
      <x:c r="L496" s="19"/>
      <x:c r="M496" s="19"/>
      <x:c r="N496" s="19"/>
      <x:c r="O496" s="19" t="str">
        <x:v>candidate-only</x:v>
      </x:c>
      <x:c r="P496" s="33" t="b">
        <x:v>0</x:v>
      </x:c>
      <x:c r="Q496" s="19" t="n">
        <x:v>1</x:v>
      </x:c>
      <x:c r="R496" s="19" t="str">
        <x:v>conditional-local-file-unavailable</x:v>
      </x:c>
    </x:row>
    <x:row r="497" ht="15" hidden="0" customHeight="1">
      <x:c r="A497" s="19" t="str">
        <x:v>R01–R04审计</x:v>
      </x:c>
      <x:c r="B497" s="19" t="str">
        <x:v>media-candidate-bailitannheng-ce65b2b578dd</x:v>
      </x:c>
      <x:c r="C497" s="19" t="str">
        <x:v>百利天恒</x:v>
      </x:c>
      <x:c r="D497" s="19" t="str">
        <x:v>权威媒体候选</x:v>
      </x:c>
      <x:c r="E497" s="19" t="str">
        <x:v>基金10月参与定增热情升温 大手笔密集布局科技龙头</x:v>
      </x:c>
      <x:c r="F497" s="19"/>
      <x:c r="G497" s="19"/>
      <x:c r="H497" s="19"/>
      <x:c r="I497" s="19" t="str">
        <x:v>2025-10-23</x:v>
      </x:c>
      <x:c r="J497" s="19" t="str">
        <x:v>https://www.p5w.net/roll/fund/202510/t20251023_6414785.htm</x:v>
      </x:c>
      <x:c r="K497" s="19" t="str">
        <x:v>https://www.p5w.net/roll/fund/202510/t20251023_6414785.htm</x:v>
      </x:c>
      <x:c r="L497" s="19"/>
      <x:c r="M497" s="19"/>
      <x:c r="N497" s="19"/>
      <x:c r="O497" s="19" t="str">
        <x:v>candidate-only</x:v>
      </x:c>
      <x:c r="P497" s="33" t="b">
        <x:v>0</x:v>
      </x:c>
      <x:c r="Q497" s="19" t="n">
        <x:v>1</x:v>
      </x:c>
      <x:c r="R497" s="19" t="str">
        <x:v>conditional-local-file-unavailable</x:v>
      </x:c>
    </x:row>
    <x:row r="498" ht="15" hidden="0" customHeight="1">
      <x:c r="A498" s="19" t="str">
        <x:v>R01–R04审计</x:v>
      </x:c>
      <x:c r="B498" s="19" t="str">
        <x:v>media-candidate-bailitannheng-5c659db28ff7</x:v>
      </x:c>
      <x:c r="C498" s="19" t="str">
        <x:v>百利天恒</x:v>
      </x:c>
      <x:c r="D498" s="19" t="str">
        <x:v>权威媒体候选</x:v>
      </x:c>
      <x:c r="E498" s="19" t="str">
        <x:v>从“制度适配”到“生态成型” 资本市场持续赋能科技创新</x:v>
      </x:c>
      <x:c r="F498" s="19"/>
      <x:c r="G498" s="19"/>
      <x:c r="H498" s="19"/>
      <x:c r="I498" s="19" t="str">
        <x:v>2025-10-23</x:v>
      </x:c>
      <x:c r="J498" s="19" t="str">
        <x:v>https://www.p5w.net/roll/stock/202510/t20251023_6414756.htm</x:v>
      </x:c>
      <x:c r="K498" s="19" t="str">
        <x:v>https://www.p5w.net/roll/stock/202510/t20251023_6414756.htm</x:v>
      </x:c>
      <x:c r="L498" s="19"/>
      <x:c r="M498" s="19"/>
      <x:c r="N498" s="19"/>
      <x:c r="O498" s="19" t="str">
        <x:v>candidate-only</x:v>
      </x:c>
      <x:c r="P498" s="33" t="b">
        <x:v>0</x:v>
      </x:c>
      <x:c r="Q498" s="19" t="n">
        <x:v>1</x:v>
      </x:c>
      <x:c r="R498" s="19" t="str">
        <x:v>conditional-local-file-unavailable</x:v>
      </x:c>
    </x:row>
    <x:row r="499" ht="21.600000381469727" hidden="0" customHeight="1">
      <x:c r="A499" s="19" t="str">
        <x:v>R01–R04审计</x:v>
      </x:c>
      <x:c r="B499" s="19" t="str">
        <x:v>media-candidate-bailitannheng-022f113cb7cd</x:v>
      </x:c>
      <x:c r="C499" s="19" t="str">
        <x:v>百利天恒</x:v>
      </x:c>
      <x:c r="D499" s="19" t="str">
        <x:v>权威媒体候选</x:v>
      </x:c>
      <x:c r="E499" s="19" t="str">
        <x:v>“起承转合”看上交所“十四五”成绩单：全球第三大股票市场、全球最大交易所债券市场、亚洲第二大ETF市场</x:v>
      </x:c>
      <x:c r="F499" s="19"/>
      <x:c r="G499" s="19"/>
      <x:c r="H499" s="19"/>
      <x:c r="I499" s="19" t="str">
        <x:v>2025-10-18</x:v>
      </x:c>
      <x:c r="J499" s="19" t="str">
        <x:v>https://www.p5w.net/roll/stock/202510/t20251018_6413993.htm</x:v>
      </x:c>
      <x:c r="K499" s="19" t="str">
        <x:v>https://www.p5w.net/roll/stock/202510/t20251018_6413993.htm</x:v>
      </x:c>
      <x:c r="L499" s="19"/>
      <x:c r="M499" s="19"/>
      <x:c r="N499" s="19"/>
      <x:c r="O499" s="19" t="str">
        <x:v>candidate-only</x:v>
      </x:c>
      <x:c r="P499" s="33" t="b">
        <x:v>0</x:v>
      </x:c>
      <x:c r="Q499" s="19" t="n">
        <x:v>1</x:v>
      </x:c>
      <x:c r="R499" s="19" t="str">
        <x:v>conditional-local-file-unavailable</x:v>
      </x:c>
    </x:row>
    <x:row r="500" ht="15" hidden="0" customHeight="1">
      <x:c r="A500" s="19" t="str">
        <x:v>R01–R04审计</x:v>
      </x:c>
      <x:c r="B500" s="19" t="str">
        <x:v>media-candidate-bailitannheng-25d293005976</x:v>
      </x:c>
      <x:c r="C500" s="19" t="str">
        <x:v>百利天恒</x:v>
      </x:c>
      <x:c r="D500" s="19" t="str">
        <x:v>权威媒体候选</x:v>
      </x:c>
      <x:c r="E500" s="19" t="str">
        <x:v>九成收入依赖六款产品，集采后业绩暴跌，“东北药茅”长春高新启动“A+H”计划</x:v>
      </x:c>
      <x:c r="F500" s="19"/>
      <x:c r="G500" s="19"/>
      <x:c r="H500" s="19"/>
      <x:c r="I500" s="19" t="str">
        <x:v>2025-10-14</x:v>
      </x:c>
      <x:c r="J500" s="19" t="str">
        <x:v>https://www.p5w.net/roll/lanjinger/202510/t20251014_6413270.htm</x:v>
      </x:c>
      <x:c r="K500" s="19" t="str">
        <x:v>https://www.p5w.net/roll/lanjinger/202510/t20251014_6413270.htm</x:v>
      </x:c>
      <x:c r="L500" s="19"/>
      <x:c r="M500" s="19"/>
      <x:c r="N500" s="19"/>
      <x:c r="O500" s="19" t="str">
        <x:v>candidate-only</x:v>
      </x:c>
      <x:c r="P500" s="33" t="b">
        <x:v>0</x:v>
      </x:c>
      <x:c r="Q500" s="19" t="n">
        <x:v>1</x:v>
      </x:c>
      <x:c r="R500" s="19" t="str">
        <x:v>conditional-local-file-unavailable</x:v>
      </x:c>
    </x:row>
    <x:row r="501" ht="15" hidden="0" customHeight="1">
      <x:c r="A501" s="19" t="str">
        <x:v>R01–R04审计</x:v>
      </x:c>
      <x:c r="B501" s="19" t="str">
        <x:v>media-candidate-bailitannheng-bc8719202fc7</x:v>
      </x:c>
      <x:c r="C501" s="19" t="str">
        <x:v>百利天恒</x:v>
      </x:c>
      <x:c r="D501" s="19" t="str">
        <x:v>权威媒体候选</x:v>
      </x:c>
      <x:c r="E501" s="19" t="str">
        <x:v>十五年磨一剑：资本短视下，安科生物杨林博士的全球首款CAR-T突围战</x:v>
      </x:c>
      <x:c r="F501" s="19"/>
      <x:c r="G501" s="19"/>
      <x:c r="H501" s="19"/>
      <x:c r="I501" s="19" t="str">
        <x:v>2025-09-29</x:v>
      </x:c>
      <x:c r="J501" s="19" t="str">
        <x:v>https://www.p5w.net/roll/finance/202509/t20250929_6398335.htm</x:v>
      </x:c>
      <x:c r="K501" s="19" t="str">
        <x:v>https://www.p5w.net/roll/finance/202509/t20250929_6398335.htm</x:v>
      </x:c>
      <x:c r="L501" s="19"/>
      <x:c r="M501" s="19"/>
      <x:c r="N501" s="19"/>
      <x:c r="O501" s="19" t="str">
        <x:v>candidate-only</x:v>
      </x:c>
      <x:c r="P501" s="33" t="b">
        <x:v>0</x:v>
      </x:c>
      <x:c r="Q501" s="19" t="n">
        <x:v>1</x:v>
      </x:c>
      <x:c r="R501" s="19" t="str">
        <x:v>conditional-local-file-unavailable</x:v>
      </x:c>
    </x:row>
    <x:row r="502" ht="21.600000381469727" hidden="0" customHeight="1">
      <x:c r="A502" s="19" t="str">
        <x:v>R01–R04审计</x:v>
      </x:c>
      <x:c r="B502" s="19" t="str">
        <x:v>media-candidate-bailitannheng-1e402ac3b908</x:v>
      </x:c>
      <x:c r="C502" s="19" t="str">
        <x:v>百利天恒</x:v>
      </x:c>
      <x:c r="D502" s="19" t="str">
        <x:v>权威媒体候选</x:v>
      </x:c>
      <x:c r="E502" s="19" t="str">
        <x:v>同通用名不同剂型药品价差近70倍，四川百利被云南医保局问询，已被暂停该药品采购资格</x:v>
      </x:c>
      <x:c r="F502" s="19"/>
      <x:c r="G502" s="19"/>
      <x:c r="H502" s="19"/>
      <x:c r="I502" s="19" t="str">
        <x:v>2025-09-25</x:v>
      </x:c>
      <x:c r="J502" s="19" t="str">
        <x:v>https://www.p5w.net/roll/lanjinger/202509/t20250925_6397773.htm</x:v>
      </x:c>
      <x:c r="K502" s="19" t="str">
        <x:v>https://www.p5w.net/roll/lanjinger/202509/t20250925_6397773.htm</x:v>
      </x:c>
      <x:c r="L502" s="19"/>
      <x:c r="M502" s="19"/>
      <x:c r="N502" s="19"/>
      <x:c r="O502" s="19" t="str">
        <x:v>candidate-only</x:v>
      </x:c>
      <x:c r="P502" s="33" t="b">
        <x:v>0</x:v>
      </x:c>
      <x:c r="Q502" s="19" t="n">
        <x:v>1</x:v>
      </x:c>
      <x:c r="R502" s="19" t="str">
        <x:v>conditional-local-file-unavailable</x:v>
      </x:c>
    </x:row>
    <x:row r="503" ht="21.600000381469727" hidden="0" customHeight="1">
      <x:c r="A503" s="19" t="str">
        <x:v>R01–R04审计</x:v>
      </x:c>
      <x:c r="B503" s="19" t="str">
        <x:v>media-bailitannheng-196b1e750bf8</x:v>
      </x:c>
      <x:c r="C503" s="19" t="str">
        <x:v>百利天恒</x:v>
      </x:c>
      <x:c r="D503" s="19" t="str">
        <x:v>权威媒体</x:v>
      </x:c>
      <x:c r="E503" s="19" t="str">
        <x:v>百利天恒四度递表港交所，去年IPO临门一脚“刹车”后再闯关</x:v>
      </x:c>
      <x:c r="F503" s="19" t="str">
        <x:v>蓝鲸新闻</x:v>
      </x:c>
      <x:c r="G503" s="19" t="str">
        <x:v>蓝鲸财经</x:v>
      </x:c>
      <x:c r="H503" s="19" t="str">
        <x:v>蓝鲸新闻</x:v>
      </x:c>
      <x:c r="I503" s="19" t="str">
        <x:v>2026-08-07</x:v>
      </x:c>
      <x:c r="J503" s="19" t="str">
        <x:v>https://www.p5w.net/roll/lanjinger/202608/t20260807_6491722.htm</x:v>
      </x:c>
      <x:c r="K503" s="19" t="str">
        <x:v>https://www.p5w.net/roll/lanjinger/202608/t20260807_6491722.htm</x:v>
      </x:c>
      <x:c r="L503" s="19" t="str">
        <x:v>data/derived/narrative-risk-r01-r04-20260826/evidence/media-fulltext/bailitannheng/media-bailitannheng-196b1e750bf8.txt</x:v>
      </x:c>
      <x:c r="M503" s="19" t="str">
        <x:v>08de0de31f0fdefa3dc761dee3af6fa8dcd099dc28a3f08a0fa2d5fc5e068929</x:v>
      </x:c>
      <x:c r="N503" s="19" t="n">
        <x:v>627</x:v>
      </x:c>
      <x:c r="O503" s="19" t="str">
        <x:v>third-party-fulltext</x:v>
      </x:c>
      <x:c r="P503" s="33" t="b">
        <x:v>1</x:v>
      </x:c>
      <x:c r="Q503" s="19" t="n">
        <x:v>1</x:v>
      </x:c>
      <x:c r="R503" s="19" t="str">
        <x:v>browser-confirmed-local-file-unavailable</x:v>
      </x:c>
    </x:row>
    <x:row r="504" ht="15" hidden="0" customHeight="1">
      <x:c r="A504" s="19" t="str">
        <x:v>R01–R04审计</x:v>
      </x:c>
      <x:c r="B504" s="19" t="str">
        <x:v>media-bailitannheng-e3d81fc2fc67</x:v>
      </x:c>
      <x:c r="C504" s="19" t="str">
        <x:v>百利天恒</x:v>
      </x:c>
      <x:c r="D504" s="19" t="str">
        <x:v>权威媒体候选</x:v>
      </x:c>
      <x:c r="E504" s="19" t="str">
        <x:v>一图读懂|百利天恒的科创属性和投资逻辑</x:v>
      </x:c>
      <x:c r="F504" s="19"/>
      <x:c r="G504" s="19"/>
      <x:c r="H504" s="19"/>
      <x:c r="I504" s="19" t="str">
        <x:v>2026-07-30</x:v>
      </x:c>
      <x:c r="J504" s="19" t="str">
        <x:v>https://www.p5w.net/roll/zqzx/202607/t20260730_6489434.htm</x:v>
      </x:c>
      <x:c r="K504" s="19" t="str">
        <x:v>https://www.p5w.net/roll/zqzx/202607/t20260730_6489434.htm</x:v>
      </x:c>
      <x:c r="L504" s="19"/>
      <x:c r="M504" s="19"/>
      <x:c r="N504" s="19"/>
      <x:c r="O504" s="19" t="str">
        <x:v>candidate-only</x:v>
      </x:c>
      <x:c r="P504" s="33" t="b">
        <x:v>0</x:v>
      </x:c>
      <x:c r="Q504" s="19" t="n">
        <x:v>1</x:v>
      </x:c>
      <x:c r="R504" s="19" t="str">
        <x:v>conditional-local-file-unavailable</x:v>
      </x:c>
    </x:row>
    <x:row r="505" ht="21.600000381469727" hidden="0" customHeight="1">
      <x:c r="A505" s="19" t="str">
        <x:v>R01–R04审计</x:v>
      </x:c>
      <x:c r="B505" s="19" t="str">
        <x:v>media-bailitannheng-c93c514d9bde</x:v>
      </x:c>
      <x:c r="C505" s="19" t="str">
        <x:v>百利天恒</x:v>
      </x:c>
      <x:c r="D505" s="19" t="str">
        <x:v>权威媒体</x:v>
      </x:c>
      <x:c r="E505" s="19" t="str">
        <x:v>每日科创|百利天恒（688506）：一款双抗ADC撑起的千亿市值创新药企业</x:v>
      </x:c>
      <x:c r="F505" s="19" t="str">
        <x:v>证券之星</x:v>
      </x:c>
      <x:c r="G505" s="19" t="str">
        <x:v>证券之星</x:v>
      </x:c>
      <x:c r="H505" s="19"/>
      <x:c r="I505" s="19" t="str">
        <x:v>2026-07-30</x:v>
      </x:c>
      <x:c r="J505" s="19" t="str">
        <x:v>https://www.p5w.net/roll/zqzx/202607/t20260730_6489429.htm</x:v>
      </x:c>
      <x:c r="K505" s="19" t="str">
        <x:v>https://www.p5w.net/roll/zqzx/202607/t20260730_6489429.htm</x:v>
      </x:c>
      <x:c r="L505" s="19" t="str">
        <x:v>data/derived/narrative-risk-r01-r04-20260826/evidence/media-fulltext/bailitannheng/media-bailitannheng-c93c514d9bde.txt</x:v>
      </x:c>
      <x:c r="M505" s="19" t="str">
        <x:v>fbe0c7d2fe7e390a3e2f4bb11c875edf81d983815f5a469af8593c72b270e8ce</x:v>
      </x:c>
      <x:c r="N505" s="19" t="n">
        <x:v>854</x:v>
      </x:c>
      <x:c r="O505" s="19" t="str">
        <x:v>candidate-only</x:v>
      </x:c>
      <x:c r="P505" s="33" t="b">
        <x:v>0</x:v>
      </x:c>
      <x:c r="Q505" s="19" t="n">
        <x:v>1</x:v>
      </x:c>
      <x:c r="R505" s="19" t="str">
        <x:v>conditional-local-file-unavailable</x:v>
      </x:c>
    </x:row>
    <x:row r="506" ht="21.600000381469727" hidden="0" customHeight="1">
      <x:c r="A506" s="19" t="str">
        <x:v>R01–R04审计</x:v>
      </x:c>
      <x:c r="B506" s="19" t="str">
        <x:v>media-bailitannheng-1ed4f3f1cb52</x:v>
      </x:c>
      <x:c r="C506" s="19" t="str">
        <x:v>百利天恒</x:v>
      </x:c>
      <x:c r="D506" s="19" t="str">
        <x:v>权威媒体</x:v>
      </x:c>
      <x:c r="E506" s="19" t="str">
        <x:v>图解百利天恒一季报：第一季度单季净利润同比下降45.75%</x:v>
      </x:c>
      <x:c r="F506" s="19" t="str">
        <x:v>证券之星</x:v>
      </x:c>
      <x:c r="G506" s="19" t="str">
        <x:v>证券之星</x:v>
      </x:c>
      <x:c r="H506" s="19"/>
      <x:c r="I506" s="19" t="str">
        <x:v>2026-04-28</x:v>
      </x:c>
      <x:c r="J506" s="19" t="str">
        <x:v>https://www.p5w.net/roll/zqzx/202604/t20260428_6463062.htm</x:v>
      </x:c>
      <x:c r="K506" s="19" t="str">
        <x:v>https://www.p5w.net/roll/zqzx/202604/t20260428_6463062.htm</x:v>
      </x:c>
      <x:c r="L506" s="19" t="str">
        <x:v>data/derived/narrative-risk-r01-r04-20260826/evidence/media-fulltext/bailitannheng/media-bailitannheng-1ed4f3f1cb52.txt</x:v>
      </x:c>
      <x:c r="M506" s="19" t="str">
        <x:v>b886cc4fa5b520fc5777be06741a6e6f0fb2201810c4d85d5d31001fcfc022c6</x:v>
      </x:c>
      <x:c r="N506" s="19" t="n">
        <x:v>53</x:v>
      </x:c>
      <x:c r="O506" s="19" t="str">
        <x:v>candidate-only</x:v>
      </x:c>
      <x:c r="P506" s="33" t="b">
        <x:v>0</x:v>
      </x:c>
      <x:c r="Q506" s="19" t="n">
        <x:v>1</x:v>
      </x:c>
      <x:c r="R506" s="19" t="str">
        <x:v>conditional-local-file-unavailable</x:v>
      </x:c>
    </x:row>
    <x:row r="507" ht="21.600000381469727" hidden="0" customHeight="1">
      <x:c r="A507" s="19" t="str">
        <x:v>R01–R04审计</x:v>
      </x:c>
      <x:c r="B507" s="19" t="str">
        <x:v>media-bailitannheng-9b04e8bb1d12</x:v>
      </x:c>
      <x:c r="C507" s="19" t="str">
        <x:v>百利天恒</x:v>
      </x:c>
      <x:c r="D507" s="19" t="str">
        <x:v>权威媒体</x:v>
      </x:c>
      <x:c r="E507" s="19" t="str">
        <x:v>图解百利天恒年报：第四季度单季净利润同比下降56.23%</x:v>
      </x:c>
      <x:c r="F507" s="19" t="str">
        <x:v>证券之星</x:v>
      </x:c>
      <x:c r="G507" s="19" t="str">
        <x:v>证券之星</x:v>
      </x:c>
      <x:c r="H507" s="19"/>
      <x:c r="I507" s="19" t="str">
        <x:v>2026-04-28</x:v>
      </x:c>
      <x:c r="J507" s="19" t="str">
        <x:v>https://www.p5w.net/roll/zqzx/202604/t20260428_6462841.htm</x:v>
      </x:c>
      <x:c r="K507" s="19" t="str">
        <x:v>https://www.p5w.net/roll/zqzx/202604/t20260428_6462841.htm</x:v>
      </x:c>
      <x:c r="L507" s="19" t="str">
        <x:v>data/derived/narrative-risk-r01-r04-20260826/evidence/media-fulltext/bailitannheng/media-bailitannheng-9b04e8bb1d12.txt</x:v>
      </x:c>
      <x:c r="M507" s="19" t="str">
        <x:v>40de8e9a95490ad4dcb06e1c3115101c10dd25aa1eaffa859dc294b6d4930db1</x:v>
      </x:c>
      <x:c r="N507" s="19" t="n">
        <x:v>75</x:v>
      </x:c>
      <x:c r="O507" s="19" t="str">
        <x:v>candidate-only</x:v>
      </x:c>
      <x:c r="P507" s="33" t="b">
        <x:v>0</x:v>
      </x:c>
      <x:c r="Q507" s="19" t="n">
        <x:v>1</x:v>
      </x:c>
      <x:c r="R507" s="19" t="str">
        <x:v>conditional-local-file-unavailable</x:v>
      </x:c>
    </x:row>
    <x:row r="508" ht="21.600000381469727" hidden="0" customHeight="1">
      <x:c r="A508" s="19" t="str">
        <x:v>R01–R04审计</x:v>
      </x:c>
      <x:c r="B508" s="19" t="str">
        <x:v>media-bailitannheng-e64c0c866dd0</x:v>
      </x:c>
      <x:c r="C508" s="19" t="str">
        <x:v>百利天恒</x:v>
      </x:c>
      <x:c r="D508" s="19" t="str">
        <x:v>权威媒体</x:v>
      </x:c>
      <x:c r="E508" s="19" t="str">
        <x:v>业绩“变脸”的百利天恒：合作收入缩水研发高增致盈转亏，押注港股“补血”解困</x:v>
      </x:c>
      <x:c r="F508" s="19" t="str">
        <x:v>证券之星</x:v>
      </x:c>
      <x:c r="G508" s="19" t="str">
        <x:v>证券之星</x:v>
      </x:c>
      <x:c r="H508" s="19"/>
      <x:c r="I508" s="19" t="str">
        <x:v>2026-03-03</x:v>
      </x:c>
      <x:c r="J508" s="19" t="str">
        <x:v>https://www.p5w.net/roll/zqzx/202603/t20260303_6440348.htm</x:v>
      </x:c>
      <x:c r="K508" s="19" t="str">
        <x:v>https://www.p5w.net/roll/zqzx/202603/t20260303_6440348.htm</x:v>
      </x:c>
      <x:c r="L508" s="19" t="str">
        <x:v>data/derived/narrative-risk-r01-r04-20260826/evidence/media-fulltext/bailitannheng/media-bailitannheng-e64c0c866dd0.txt</x:v>
      </x:c>
      <x:c r="M508" s="19" t="str">
        <x:v>ae4eab91fcc863be113771ae39daf07ad13724695b5433b75f2d74d0a6699d07</x:v>
      </x:c>
      <x:c r="N508" s="19" t="n">
        <x:v>764</x:v>
      </x:c>
      <x:c r="O508" s="19" t="str">
        <x:v>candidate-only</x:v>
      </x:c>
      <x:c r="P508" s="33" t="b">
        <x:v>0</x:v>
      </x:c>
      <x:c r="Q508" s="19" t="n">
        <x:v>1</x:v>
      </x:c>
      <x:c r="R508" s="19" t="str">
        <x:v>conditional-local-file-unavailable</x:v>
      </x:c>
    </x:row>
    <x:row r="509" ht="21.600000381469727" hidden="0" customHeight="1">
      <x:c r="A509" s="19" t="str">
        <x:v>R01–R04审计</x:v>
      </x:c>
      <x:c r="B509" s="19" t="str">
        <x:v>media-bailitannheng-7dfd912b802e</x:v>
      </x:c>
      <x:c r="C509" s="19" t="str">
        <x:v>百利天恒</x:v>
      </x:c>
      <x:c r="D509" s="19" t="str">
        <x:v>权威媒体</x:v>
      </x:c>
      <x:c r="E509" s="19" t="str">
        <x:v>营收腰斩预亏10亿，BD收益退潮百利天恒亟待核心产品造血</x:v>
      </x:c>
      <x:c r="F509" s="19" t="str">
        <x:v>蓝鲸新闻</x:v>
      </x:c>
      <x:c r="G509" s="19" t="str">
        <x:v>蓝鲸财经</x:v>
      </x:c>
      <x:c r="H509" s="19" t="str">
        <x:v>蓝鲸新闻</x:v>
      </x:c>
      <x:c r="I509" s="19" t="str">
        <x:v>2026-02-28</x:v>
      </x:c>
      <x:c r="J509" s="19" t="str">
        <x:v>https://www.p5w.net/roll/lanjinger/202602/t20260228_6440002.htm</x:v>
      </x:c>
      <x:c r="K509" s="19" t="str">
        <x:v>https://www.p5w.net/roll/lanjinger/202602/t20260228_6440002.htm</x:v>
      </x:c>
      <x:c r="L509" s="19" t="str">
        <x:v>data/derived/narrative-risk-r01-r04-20260826/evidence/media-fulltext/bailitannheng/media-bailitannheng-7dfd912b802e.txt</x:v>
      </x:c>
      <x:c r="M509" s="19" t="str">
        <x:v>4b20f37d29e55fc53a647e848284d7fc055b8d800777a7574317281035004c2e</x:v>
      </x:c>
      <x:c r="N509" s="19" t="n">
        <x:v>621</x:v>
      </x:c>
      <x:c r="O509" s="19" t="str">
        <x:v>third-party-fulltext</x:v>
      </x:c>
      <x:c r="P509" s="33" t="b">
        <x:v>1</x:v>
      </x:c>
      <x:c r="Q509" s="19" t="n">
        <x:v>1</x:v>
      </x:c>
      <x:c r="R509" s="19" t="str">
        <x:v>conditional-local-file-unavailable</x:v>
      </x:c>
    </x:row>
    <x:row r="510" ht="21.600000381469727" hidden="0" customHeight="1">
      <x:c r="A510" s="19" t="str">
        <x:v>R01–R04审计</x:v>
      </x:c>
      <x:c r="B510" s="19" t="str">
        <x:v>media-bailitannheng-5d35c47aa1b0</x:v>
      </x:c>
      <x:c r="C510" s="19" t="str">
        <x:v>百利天恒</x:v>
      </x:c>
      <x:c r="D510" s="19" t="str">
        <x:v>权威媒体</x:v>
      </x:c>
      <x:c r="E510" s="19" t="str">
        <x:v>【风口解读】百利天恒预计去年亏损11亿元，研发投入同比增幅较大</x:v>
      </x:c>
      <x:c r="F510" s="19" t="str">
        <x:v>泡财经</x:v>
      </x:c>
      <x:c r="G510" s="19" t="str">
        <x:v>泡财经</x:v>
      </x:c>
      <x:c r="H510" s="19"/>
      <x:c r="I510" s="19" t="str">
        <x:v>2026-01-30</x:v>
      </x:c>
      <x:c r="J510" s="19" t="str">
        <x:v>https://www.p5w.net/roll/pcj/202601/t20260130_6436547.htm</x:v>
      </x:c>
      <x:c r="K510" s="19" t="str">
        <x:v>https://www.p5w.net/roll/pcj/202601/t20260130_6436547.htm</x:v>
      </x:c>
      <x:c r="L510" s="19" t="str">
        <x:v>data/derived/narrative-risk-r01-r04-20260826/evidence/media-fulltext/bailitannheng/media-bailitannheng-5d35c47aa1b0.txt</x:v>
      </x:c>
      <x:c r="M510" s="19" t="str">
        <x:v>3d6e9335768360a08d30ab3bd7cf66c64a6cbace7100700f74761abd2ee502f9</x:v>
      </x:c>
      <x:c r="N510" s="19" t="n">
        <x:v>219</x:v>
      </x:c>
      <x:c r="O510" s="19" t="str">
        <x:v>candidate-only</x:v>
      </x:c>
      <x:c r="P510" s="33" t="b">
        <x:v>0</x:v>
      </x:c>
      <x:c r="Q510" s="19" t="n">
        <x:v>1</x:v>
      </x:c>
      <x:c r="R510" s="19" t="str">
        <x:v>conditional-local-file-unavailable</x:v>
      </x:c>
    </x:row>
    <x:row r="511" ht="21.600000381469727" hidden="0" customHeight="1">
      <x:c r="A511" s="19" t="str">
        <x:v>R01–R04审计</x:v>
      </x:c>
      <x:c r="B511" s="19" t="str">
        <x:v>media-bailitannheng-78368d9d5d1d</x:v>
      </x:c>
      <x:c r="C511" s="19" t="str">
        <x:v>百利天恒</x:v>
      </x:c>
      <x:c r="D511" s="19" t="str">
        <x:v>权威媒体</x:v>
      </x:c>
      <x:c r="E511" s="19" t="str">
        <x:v>全球首创！百利天恒ADC新药IZA-BREN食管鳞癌适应症获CDE受理，中国患者有望领先海外三年获益</x:v>
      </x:c>
      <x:c r="F511" s="19" t="str">
        <x:v>蓝鲸新闻</x:v>
      </x:c>
      <x:c r="G511" s="19" t="str">
        <x:v>蓝鲸财经</x:v>
      </x:c>
      <x:c r="H511" s="19" t="str">
        <x:v>蓝鲸新闻</x:v>
      </x:c>
      <x:c r="I511" s="19" t="str">
        <x:v>2026-01-22</x:v>
      </x:c>
      <x:c r="J511" s="19" t="str">
        <x:v>https://www.p5w.net/roll/lanjinger/202601/t20260122_6435141.htm</x:v>
      </x:c>
      <x:c r="K511" s="19" t="str">
        <x:v>https://www.p5w.net/roll/lanjinger/202601/t20260122_6435141.htm</x:v>
      </x:c>
      <x:c r="L511" s="19" t="str">
        <x:v>data/derived/narrative-risk-r01-r04-20260826/evidence/media-fulltext/bailitannheng/media-bailitannheng-78368d9d5d1d.txt</x:v>
      </x:c>
      <x:c r="M511" s="19" t="str">
        <x:v>079c129effc703bf6008603132e2f4841b14649bac4467e7051e097eef081d11</x:v>
      </x:c>
      <x:c r="N511" s="19" t="n">
        <x:v>486</x:v>
      </x:c>
      <x:c r="O511" s="19" t="str">
        <x:v>third-party-fulltext</x:v>
      </x:c>
      <x:c r="P511" s="33" t="b">
        <x:v>1</x:v>
      </x:c>
      <x:c r="Q511" s="19" t="n">
        <x:v>1</x:v>
      </x:c>
      <x:c r="R511" s="19" t="str">
        <x:v>conditional-local-file-unavailable</x:v>
      </x:c>
    </x:row>
    <x:row r="512" ht="21.600000381469727" hidden="0" customHeight="1">
      <x:c r="A512" s="19" t="str">
        <x:v>R01–R04审计</x:v>
      </x:c>
      <x:c r="B512" s="19" t="str">
        <x:v>media-bailitannheng-7f4be09f219d</x:v>
      </x:c>
      <x:c r="C512" s="19" t="str">
        <x:v>百利天恒</x:v>
      </x:c>
      <x:c r="D512" s="19" t="str">
        <x:v>权威媒体</x:v>
      </x:c>
      <x:c r="E512" s="19" t="str">
        <x:v>“清仓”百利天恒后，德福投资“入主”莱茵生物扩张资本版图</x:v>
      </x:c>
      <x:c r="F512" s="19" t="str">
        <x:v>蓝鲸新闻</x:v>
      </x:c>
      <x:c r="G512" s="19" t="str">
        <x:v>蓝鲸财经</x:v>
      </x:c>
      <x:c r="H512" s="19" t="str">
        <x:v>蓝鲸新闻</x:v>
      </x:c>
      <x:c r="I512" s="19" t="str">
        <x:v>2025-12-11</x:v>
      </x:c>
      <x:c r="J512" s="19" t="str">
        <x:v>https://www.p5w.net/roll/lanjinger/202512/t20251211_6428049.htm</x:v>
      </x:c>
      <x:c r="K512" s="19" t="str">
        <x:v>https://www.p5w.net/roll/lanjinger/202512/t20251211_6428049.htm</x:v>
      </x:c>
      <x:c r="L512" s="19" t="str">
        <x:v>data/derived/narrative-risk-r01-r04-20260826/evidence/media-fulltext/bailitannheng/media-bailitannheng-7f4be09f219d.txt</x:v>
      </x:c>
      <x:c r="M512" s="19" t="str">
        <x:v>80544e81745cb1e2629d6a037feb3ea50b9863a9c91d94a8a751b84f516f47bd</x:v>
      </x:c>
      <x:c r="N512" s="19" t="n">
        <x:v>908</x:v>
      </x:c>
      <x:c r="O512" s="19" t="str">
        <x:v>third-party-fulltext</x:v>
      </x:c>
      <x:c r="P512" s="33" t="b">
        <x:v>1</x:v>
      </x:c>
      <x:c r="Q512" s="19" t="n">
        <x:v>1</x:v>
      </x:c>
      <x:c r="R512" s="19" t="str">
        <x:v>conditional-local-file-unavailable</x:v>
      </x:c>
    </x:row>
    <x:row r="513" ht="21.600000381469727" hidden="0" customHeight="1">
      <x:c r="A513" s="19" t="str">
        <x:v>R01–R04审计</x:v>
      </x:c>
      <x:c r="B513" s="19" t="str">
        <x:v>media-bailitannheng-61a565536fa3</x:v>
      </x:c>
      <x:c r="C513" s="19" t="str">
        <x:v>百利天恒</x:v>
      </x:c>
      <x:c r="D513" s="19" t="str">
        <x:v>权威媒体</x:v>
      </x:c>
      <x:c r="E513" s="19" t="str">
        <x:v>【风口解读】百利天恒iza-bren上市申请已获受理，前三季度净亏损4.95亿元</x:v>
      </x:c>
      <x:c r="F513" s="19" t="str">
        <x:v>泡财经</x:v>
      </x:c>
      <x:c r="G513" s="19" t="str">
        <x:v>泡财经</x:v>
      </x:c>
      <x:c r="H513" s="19"/>
      <x:c r="I513" s="19" t="str">
        <x:v>2025-11-23</x:v>
      </x:c>
      <x:c r="J513" s="19" t="str">
        <x:v>https://www.p5w.net/roll/pcj/202511/t20251123_6424654.htm</x:v>
      </x:c>
      <x:c r="K513" s="19" t="str">
        <x:v>https://www.p5w.net/roll/pcj/202511/t20251123_6424654.htm</x:v>
      </x:c>
      <x:c r="L513" s="19" t="str">
        <x:v>data/derived/narrative-risk-r01-r04-20260826/evidence/media-fulltext/bailitannheng/media-bailitannheng-61a565536fa3.txt</x:v>
      </x:c>
      <x:c r="M513" s="19" t="str">
        <x:v>483f86dfbb3afc187637886970f83a6a117413538bc104e7e06d9882e68fbde1</x:v>
      </x:c>
      <x:c r="N513" s="19" t="n">
        <x:v>260</x:v>
      </x:c>
      <x:c r="O513" s="19" t="str">
        <x:v>candidate-only</x:v>
      </x:c>
      <x:c r="P513" s="33" t="b">
        <x:v>0</x:v>
      </x:c>
      <x:c r="Q513" s="19" t="n">
        <x:v>1</x:v>
      </x:c>
      <x:c r="R513" s="19" t="str">
        <x:v>conditional-local-file-unavailable</x:v>
      </x:c>
    </x:row>
    <x:row r="514" ht="21.600000381469727" hidden="0" customHeight="1">
      <x:c r="A514" s="19" t="str">
        <x:v>R01–R04审计</x:v>
      </x:c>
      <x:c r="B514" s="19" t="str">
        <x:v>media-bailitannheng-56d3d1e00603</x:v>
      </x:c>
      <x:c r="C514" s="19" t="str">
        <x:v>百利天恒</x:v>
      </x:c>
      <x:c r="D514" s="19" t="str">
        <x:v>权威媒体</x:v>
      </x:c>
      <x:c r="E514" s="19" t="str">
        <x:v>百利天恒港股IPO临门撤档背后：陷高门槛、低折让与业绩不稳定三重争议</x:v>
      </x:c>
      <x:c r="F514" s="19" t="str">
        <x:v>证券之星</x:v>
      </x:c>
      <x:c r="G514" s="19" t="str">
        <x:v>证券之星</x:v>
      </x:c>
      <x:c r="H514" s="19"/>
      <x:c r="I514" s="19" t="str">
        <x:v>2025-11-14</x:v>
      </x:c>
      <x:c r="J514" s="19" t="str">
        <x:v>https://www.p5w.net/roll/zqzx/202511/t20251114_6423311.htm</x:v>
      </x:c>
      <x:c r="K514" s="19" t="str">
        <x:v>https://www.p5w.net/roll/zqzx/202511/t20251114_6423311.htm</x:v>
      </x:c>
      <x:c r="L514" s="19" t="str">
        <x:v>data/derived/narrative-risk-r01-r04-20260826/evidence/media-fulltext/bailitannheng/media-bailitannheng-56d3d1e00603.txt</x:v>
      </x:c>
      <x:c r="M514" s="19" t="str">
        <x:v>a32ce8dc8c75d6bb94fa978b4b99ade8286b8073c3109673a8bff11ca9530807</x:v>
      </x:c>
      <x:c r="N514" s="19" t="n">
        <x:v>1040</x:v>
      </x:c>
      <x:c r="O514" s="19" t="str">
        <x:v>candidate-only</x:v>
      </x:c>
      <x:c r="P514" s="33" t="b">
        <x:v>0</x:v>
      </x:c>
      <x:c r="Q514" s="19" t="n">
        <x:v>1</x:v>
      </x:c>
      <x:c r="R514" s="19" t="str">
        <x:v>conditional-local-file-unavailable</x:v>
      </x:c>
    </x:row>
    <x:row r="515" ht="21.600000381469727" hidden="0" customHeight="1">
      <x:c r="A515" s="19" t="str">
        <x:v>R01–R04审计</x:v>
      </x:c>
      <x:c r="B515" s="19" t="str">
        <x:v>media-bailitannheng-ac1786a72038</x:v>
      </x:c>
      <x:c r="C515" s="19" t="str">
        <x:v>百利天恒</x:v>
      </x:c>
      <x:c r="D515" s="19" t="str">
        <x:v>权威媒体</x:v>
      </x:c>
      <x:c r="E515" s="19" t="str">
        <x:v>定价折让不足，发行数量较为迷你，百利天恒港股IPO临门暂停，公司回应后续计划</x:v>
      </x:c>
      <x:c r="F515" s="19" t="str">
        <x:v>蓝鲸财经</x:v>
      </x:c>
      <x:c r="G515" s="19" t="str">
        <x:v>蓝鲸财经</x:v>
      </x:c>
      <x:c r="H515" s="19" t="str">
        <x:v>蓝鲸财经</x:v>
      </x:c>
      <x:c r="I515" s="19" t="str">
        <x:v>2025-11-13</x:v>
      </x:c>
      <x:c r="J515" s="19" t="str">
        <x:v>https://www.p5w.net/roll/lanjinger/202511/t20251113_6423175.htm</x:v>
      </x:c>
      <x:c r="K515" s="19" t="str">
        <x:v>https://www.p5w.net/roll/lanjinger/202511/t20251113_6423175.htm</x:v>
      </x:c>
      <x:c r="L515" s="19" t="str">
        <x:v>data/derived/narrative-risk-r01-r04-20260826/evidence/media-fulltext/bailitannheng/media-bailitannheng-ac1786a72038.txt</x:v>
      </x:c>
      <x:c r="M515" s="19" t="str">
        <x:v>d6a3f816087d0f8471032dea825753f8a4feeb7272deb4841e8b7c447d382d27</x:v>
      </x:c>
      <x:c r="N515" s="19" t="n">
        <x:v>1038</x:v>
      </x:c>
      <x:c r="O515" s="19" t="str">
        <x:v>third-party-fulltext</x:v>
      </x:c>
      <x:c r="P515" s="33" t="b">
        <x:v>1</x:v>
      </x:c>
      <x:c r="Q515" s="19" t="n">
        <x:v>1</x:v>
      </x:c>
      <x:c r="R515" s="19" t="str">
        <x:v>conditional-local-file-unavailable</x:v>
      </x:c>
    </x:row>
    <x:row r="516" ht="21.600000381469727" hidden="0" customHeight="1">
      <x:c r="A516" s="19" t="str">
        <x:v>R01–R04审计</x:v>
      </x:c>
      <x:c r="B516" s="19" t="str">
        <x:v>media-bailitannheng-4cfcd2fb3b7b</x:v>
      </x:c>
      <x:c r="C516" s="19" t="str">
        <x:v>百利天恒</x:v>
      </x:c>
      <x:c r="D516" s="19" t="str">
        <x:v>权威媒体</x:v>
      </x:c>
      <x:c r="E516" s="19" t="str">
        <x:v>定价折让不足，发行数量较为迷你，百利天恒港股IPO临门暂停</x:v>
      </x:c>
      <x:c r="F516" s="19" t="str">
        <x:v>蓝鲸财经</x:v>
      </x:c>
      <x:c r="G516" s="19" t="str">
        <x:v>蓝鲸财经</x:v>
      </x:c>
      <x:c r="H516" s="19" t="str">
        <x:v>蓝鲸财经</x:v>
      </x:c>
      <x:c r="I516" s="19" t="str">
        <x:v>2025-11-13</x:v>
      </x:c>
      <x:c r="J516" s="19" t="str">
        <x:v>https://www.p5w.net/roll/lanjinger/202511/t20251113_6423174.htm</x:v>
      </x:c>
      <x:c r="K516" s="19" t="str">
        <x:v>https://www.p5w.net/roll/lanjinger/202511/t20251113_6423174.htm</x:v>
      </x:c>
      <x:c r="L516" s="19" t="str">
        <x:v>data/derived/narrative-risk-r01-r04-20260826/evidence/media-fulltext/bailitannheng/media-bailitannheng-4cfcd2fb3b7b.txt</x:v>
      </x:c>
      <x:c r="M516" s="19" t="str">
        <x:v>bc033df8f5e444a10338a2348fa3b9b475b97c56a392c883fbac479d45d5a271</x:v>
      </x:c>
      <x:c r="N516" s="19" t="n">
        <x:v>1038</x:v>
      </x:c>
      <x:c r="O516" s="19" t="str">
        <x:v>third-party-fulltext</x:v>
      </x:c>
      <x:c r="P516" s="33" t="b">
        <x:v>1</x:v>
      </x:c>
      <x:c r="Q516" s="19" t="n">
        <x:v>1</x:v>
      </x:c>
      <x:c r="R516" s="19" t="str">
        <x:v>conditional-local-file-unavailable</x:v>
      </x:c>
    </x:row>
    <x:row r="517" ht="21.600000381469727" hidden="0" customHeight="1">
      <x:c r="A517" s="19" t="str">
        <x:v>R01–R04审计</x:v>
      </x:c>
      <x:c r="B517" s="19" t="str">
        <x:v>media-bailitannheng-3c00c50f4bdc</x:v>
      </x:c>
      <x:c r="C517" s="19" t="str">
        <x:v>百利天恒</x:v>
      </x:c>
      <x:c r="D517" s="19" t="str">
        <x:v>权威媒体</x:v>
      </x:c>
      <x:c r="E517" s="19" t="str">
        <x:v>百利天恒双抗ADC iza-bren捷报频传 太美医疗科技荣幸助力创新征程</x:v>
      </x:c>
      <x:c r="F517" s="19" t="str">
        <x:v>手机云川网</x:v>
      </x:c>
      <x:c r="G517" s="19" t="str">
        <x:v>手机云川网</x:v>
      </x:c>
      <x:c r="H517" s="19"/>
      <x:c r="I517" s="19" t="str">
        <x:v>2025-09-28</x:v>
      </x:c>
      <x:c r="J517" s="19" t="str">
        <x:v>https://www.p5w.net/roll/finance/202509/t20250928_6398168.htm</x:v>
      </x:c>
      <x:c r="K517" s="19" t="str">
        <x:v>https://www.p5w.net/roll/finance/202509/t20250928_6398168.htm</x:v>
      </x:c>
      <x:c r="L517" s="19" t="str">
        <x:v>data/derived/narrative-risk-r01-r04-20260826/evidence/media-fulltext/bailitannheng/media-bailitannheng-3c00c50f4bdc.txt</x:v>
      </x:c>
      <x:c r="M517" s="19" t="str">
        <x:v>834171e26beb5d4cc19c08568f7dda8e9640148e5aae5c246e16f87e07580d2e</x:v>
      </x:c>
      <x:c r="N517" s="19" t="n">
        <x:v>404</x:v>
      </x:c>
      <x:c r="O517" s="19" t="str">
        <x:v>candidate-only</x:v>
      </x:c>
      <x:c r="P517" s="33" t="b">
        <x:v>0</x:v>
      </x:c>
      <x:c r="Q517" s="19" t="n">
        <x:v>1</x:v>
      </x:c>
      <x:c r="R517" s="19" t="str">
        <x:v>conditional-local-file-unavailable</x:v>
      </x:c>
    </x:row>
    <x:row r="518" ht="15" hidden="0" customHeight="1">
      <x:c r="A518" s="19" t="str">
        <x:v>R01–R04审计</x:v>
      </x:c>
      <x:c r="B518" s="19" t="str">
        <x:v>roadshow-34929</x:v>
      </x:c>
      <x:c r="C518" s="19" t="str">
        <x:v>寒武纪</x:v>
      </x:c>
      <x:c r="D518" s="19" t="str">
        <x:v>互动平台/业绩说明会</x:v>
      </x:c>
      <x:c r="E518" s="19" t="str">
        <x:v>寒武纪2025年半年度业绩说明会</x:v>
      </x:c>
      <x:c r="F518" s="19" t="str">
        <x:v>上证路演中心</x:v>
      </x:c>
      <x:c r="G518" s="19"/>
      <x:c r="H518" s="19" t="str">
        <x:v>管理层</x:v>
      </x:c>
      <x:c r="I518" s="19" t="str">
        <x:v>2025-09-18</x:v>
      </x:c>
      <x:c r="J518" s="19" t="str">
        <x:v>https://roadshow.sseinfo.com/webappActivityDetail/34929</x:v>
      </x:c>
      <x:c r="K518" s="19" t="str">
        <x:v>https://roadshow.sseinfo.com/webappActivityDetail/34929</x:v>
      </x:c>
      <x:c r="L518" s="19" t="str">
        <x:v>data/derived/narrative-risk-r01-r04-20260826/evidence/interaction/cambricon/activity-34929.json</x:v>
      </x:c>
      <x:c r="M518" s="19" t="str">
        <x:v>91108f93bc88bb9f2a5d8cf6b77220899d3605d465971065c237834a72bfeaad</x:v>
      </x:c>
      <x:c r="N518" s="19" t="n">
        <x:v>1319</x:v>
      </x:c>
      <x:c r="O518" s="19" t="str">
        <x:v>management-answer-fulltext</x:v>
      </x:c>
      <x:c r="P518" s="33" t="b">
        <x:v>1</x:v>
      </x:c>
      <x:c r="Q518" s="19" t="n">
        <x:v>1</x:v>
      </x:c>
      <x:c r="R518" s="19" t="str">
        <x:v>browser-confirmed-local-file-unavailable</x:v>
      </x:c>
    </x:row>
    <x:row r="519" ht="15" hidden="0" customHeight="1">
      <x:c r="A519" s="19" t="str">
        <x:v>R01–R04审计</x:v>
      </x:c>
      <x:c r="B519" s="19" t="str">
        <x:v>roadshow-38704</x:v>
      </x:c>
      <x:c r="C519" s="19" t="str">
        <x:v>寒武纪</x:v>
      </x:c>
      <x:c r="D519" s="19" t="str">
        <x:v>互动平台/业绩说明会</x:v>
      </x:c>
      <x:c r="E519" s="19" t="str">
        <x:v>寒武纪2025年年度业绩说明会</x:v>
      </x:c>
      <x:c r="F519" s="19" t="str">
        <x:v>上证路演中心</x:v>
      </x:c>
      <x:c r="G519" s="19"/>
      <x:c r="H519" s="19" t="str">
        <x:v>管理层</x:v>
      </x:c>
      <x:c r="I519" s="19" t="str">
        <x:v>2026-04-22</x:v>
      </x:c>
      <x:c r="J519" s="19" t="str">
        <x:v>https://roadshow.sseinfo.com/webappActivityDetail/38704</x:v>
      </x:c>
      <x:c r="K519" s="19" t="str">
        <x:v>https://roadshow.sseinfo.com/webappActivityDetail/38704</x:v>
      </x:c>
      <x:c r="L519" s="19" t="str">
        <x:v>data/derived/narrative-risk-r01-r04-20260826/evidence/interaction/cambricon/activity-38704.json</x:v>
      </x:c>
      <x:c r="M519" s="19" t="str">
        <x:v>511cbaa97387a5b3f876d6e6253afd13ed96aabe7597f0ad4cd47975df3b9ba5</x:v>
      </x:c>
      <x:c r="N519" s="19" t="n">
        <x:v>1814</x:v>
      </x:c>
      <x:c r="O519" s="19" t="str">
        <x:v>management-answer-fulltext</x:v>
      </x:c>
      <x:c r="P519" s="33" t="b">
        <x:v>1</x:v>
      </x:c>
      <x:c r="Q519" s="19" t="n">
        <x:v>1</x:v>
      </x:c>
      <x:c r="R519" s="19" t="str">
        <x:v>browser-confirmed-local-file-unavailable</x:v>
      </x:c>
    </x:row>
    <x:row r="520" ht="15" hidden="0" customHeight="1">
      <x:c r="A520" s="19" t="str">
        <x:v>R01–R04审计</x:v>
      </x:c>
      <x:c r="B520" s="19" t="str">
        <x:v>roadshow-40262</x:v>
      </x:c>
      <x:c r="C520" s="19" t="str">
        <x:v>寒武纪</x:v>
      </x:c>
      <x:c r="D520" s="19" t="str">
        <x:v>互动平台/业绩说明会</x:v>
      </x:c>
      <x:c r="E520" s="19" t="str">
        <x:v>寒武纪2026年半年度业绩说明会</x:v>
      </x:c>
      <x:c r="F520" s="19" t="str">
        <x:v>上证路演中心</x:v>
      </x:c>
      <x:c r="G520" s="19"/>
      <x:c r="H520" s="19" t="str">
        <x:v>管理层</x:v>
      </x:c>
      <x:c r="I520" s="19" t="str">
        <x:v>2026-08-12</x:v>
      </x:c>
      <x:c r="J520" s="19" t="str">
        <x:v>https://roadshow.sseinfo.com/webappActivityDetail/40262</x:v>
      </x:c>
      <x:c r="K520" s="19" t="str">
        <x:v>https://roadshow.sseinfo.com/webappActivityDetail/40262</x:v>
      </x:c>
      <x:c r="L520" s="19" t="str">
        <x:v>data/derived/narrative-risk-r01-r04-20260826/evidence/interaction/cambricon/activity-40262.json</x:v>
      </x:c>
      <x:c r="M520" s="19" t="str">
        <x:v>0e98abd0755a1e66a2c925dd544e4eea0f38645b55bc72b6c3c6ca375ea61035</x:v>
      </x:c>
      <x:c r="N520" s="19" t="n">
        <x:v>2935</x:v>
      </x:c>
      <x:c r="O520" s="19" t="str">
        <x:v>management-answer-fulltext</x:v>
      </x:c>
      <x:c r="P520" s="33" t="b">
        <x:v>1</x:v>
      </x:c>
      <x:c r="Q520" s="19" t="n">
        <x:v>1</x:v>
      </x:c>
      <x:c r="R520" s="19" t="str">
        <x:v>browser-confirmed-local-file-unavailable</x:v>
      </x:c>
    </x:row>
    <x:row r="521" ht="15" hidden="0" customHeight="1">
      <x:c r="A521" s="19" t="str">
        <x:v>R01–R04审计</x:v>
      </x:c>
      <x:c r="B521" s="19" t="str">
        <x:v>roadshow-37197</x:v>
      </x:c>
      <x:c r="C521" s="19" t="str">
        <x:v>百利天恒</x:v>
      </x:c>
      <x:c r="D521" s="19" t="str">
        <x:v>互动平台/业绩说明会</x:v>
      </x:c>
      <x:c r="E521" s="19" t="str">
        <x:v>百利天恒2025年第三季度业绩说明会</x:v>
      </x:c>
      <x:c r="F521" s="19" t="str">
        <x:v>上证路演中心</x:v>
      </x:c>
      <x:c r="G521" s="19"/>
      <x:c r="H521" s="19" t="str">
        <x:v>管理层</x:v>
      </x:c>
      <x:c r="I521" s="19" t="str">
        <x:v>2025-12-04</x:v>
      </x:c>
      <x:c r="J521" s="19" t="str">
        <x:v>https://roadshow.sseinfo.com/webappActivityDetail/37197</x:v>
      </x:c>
      <x:c r="K521" s="19" t="str">
        <x:v>https://roadshow.sseinfo.com/webappActivityDetail/37197</x:v>
      </x:c>
      <x:c r="L521" s="19" t="str">
        <x:v>data/derived/narrative-risk-r01-r04-20260826/evidence/interaction/bailitannheng/activity-37197.json</x:v>
      </x:c>
      <x:c r="M521" s="19" t="str">
        <x:v>e692c65d5ef2eca07936053f1dd4d458e9ac64070acb4e598543bf1799f06b31</x:v>
      </x:c>
      <x:c r="N521" s="19" t="n">
        <x:v>399</x:v>
      </x:c>
      <x:c r="O521" s="19" t="str">
        <x:v>management-answer-fulltext</x:v>
      </x:c>
      <x:c r="P521" s="33" t="b">
        <x:v>1</x:v>
      </x:c>
      <x:c r="Q521" s="19" t="n">
        <x:v>1</x:v>
      </x:c>
      <x:c r="R521" s="19" t="str">
        <x:v>browser-confirmed-local-file-unavailable</x:v>
      </x:c>
    </x:row>
    <x:row r="522" ht="21.600000381469727" hidden="0" customHeight="1">
      <x:c r="A522" s="19" t="str">
        <x:v>客观四企</x:v>
      </x:c>
      <x:c r="B522" s="19" t="str">
        <x:v>SRC-CAM-AR25</x:v>
      </x:c>
      <x:c r="C522" s="19" t="str">
        <x:v>寒武纪</x:v>
      </x:c>
      <x:c r="D522" s="19" t="str">
        <x:v>官方年报</x:v>
      </x:c>
      <x:c r="E522" s="19" t="str">
        <x:v>2025年年度报告</x:v>
      </x:c>
      <x:c r="F522" s="19"/>
      <x:c r="G522" s="19"/>
      <x:c r="H522" s="19"/>
      <x:c r="I522" s="19" t="str">
        <x:v>2026-03-13</x:v>
      </x:c>
      <x:c r="J522" s="19" t="str">
        <x:v>https://www.sse.com.cn/disclosure/listedinfo/announcement/c/new/2026-03-13/688256_20260313_GWH3.pdf</x:v>
      </x:c>
      <x:c r="K522" s="19" t="str">
        <x:v>https://www.sse.com.cn/disclosure/listedinfo/announcement/c/new/2026-03-13/688256_20260313_GWH3.pdf</x:v>
      </x:c>
      <x:c r="L522" s="19"/>
      <x:c r="M522" s="19"/>
      <x:c r="N522" s="19"/>
      <x:c r="O522" s="19" t="str">
        <x:v>叙事+客观</x:v>
      </x:c>
      <x:c r="P522" s="33" t="b">
        <x:v>1</x:v>
      </x:c>
      <x:c r="Q522" s="19" t="n">
        <x:v>1</x:v>
      </x:c>
      <x:c r="R522" s="19" t="str">
        <x:v>legacy-audited</x:v>
      </x:c>
    </x:row>
    <x:row r="523" ht="21.600000381469727" hidden="0" customHeight="1">
      <x:c r="A523" s="19" t="str">
        <x:v>客观四企</x:v>
      </x:c>
      <x:c r="B523" s="19" t="str">
        <x:v>SRC-CAM-H126</x:v>
      </x:c>
      <x:c r="C523" s="19" t="str">
        <x:v>寒武纪</x:v>
      </x:c>
      <x:c r="D523" s="19" t="str">
        <x:v>官方半年报</x:v>
      </x:c>
      <x:c r="E523" s="19" t="str">
        <x:v>2026年半年度报告</x:v>
      </x:c>
      <x:c r="F523" s="19"/>
      <x:c r="G523" s="19"/>
      <x:c r="H523" s="19"/>
      <x:c r="I523" s="19" t="str">
        <x:v>2026-08-08</x:v>
      </x:c>
      <x:c r="J523" s="19" t="str">
        <x:v>https://www.sse.com.cn/disclosure/listedinfo/announcement/c/new/2026-08-08/688256_20260808_TUNG.pdf</x:v>
      </x:c>
      <x:c r="K523" s="19" t="str">
        <x:v>https://www.sse.com.cn/disclosure/listedinfo/announcement/c/new/2026-08-08/688256_20260808_TUNG.pdf</x:v>
      </x:c>
      <x:c r="L523" s="19"/>
      <x:c r="M523" s="19"/>
      <x:c r="N523" s="19"/>
      <x:c r="O523" s="19" t="str">
        <x:v>客观</x:v>
      </x:c>
      <x:c r="P523" s="33" t="b">
        <x:v>1</x:v>
      </x:c>
      <x:c r="Q523" s="19" t="n">
        <x:v>1</x:v>
      </x:c>
      <x:c r="R523" s="19" t="str">
        <x:v>legacy-audited</x:v>
      </x:c>
    </x:row>
    <x:row r="524" ht="15" hidden="0" customHeight="1">
      <x:c r="A524" s="19" t="str">
        <x:v>客观四企</x:v>
      </x:c>
      <x:c r="B524" s="19" t="str">
        <x:v>SRC-CAM-RS25</x:v>
      </x:c>
      <x:c r="C524" s="19" t="str">
        <x:v>寒武纪</x:v>
      </x:c>
      <x:c r="D524" s="19" t="str">
        <x:v>上证路演</x:v>
      </x:c>
      <x:c r="E524" s="19" t="str">
        <x:v>2025年年度业绩说明会</x:v>
      </x:c>
      <x:c r="F524" s="19"/>
      <x:c r="G524" s="19"/>
      <x:c r="H524" s="19"/>
      <x:c r="I524" s="19" t="str">
        <x:v>2026-04-22</x:v>
      </x:c>
      <x:c r="J524" s="19" t="str">
        <x:v>https://roadshow.sseinfo.com/activityDetails/38704?navId=48</x:v>
      </x:c>
      <x:c r="K524" s="19" t="str">
        <x:v>https://roadshow.sseinfo.com/activityDetails/38704?navId=48</x:v>
      </x:c>
      <x:c r="L524" s="19"/>
      <x:c r="M524" s="19"/>
      <x:c r="N524" s="19"/>
      <x:c r="O524" s="19" t="str">
        <x:v>TONE</x:v>
      </x:c>
      <x:c r="P524" s="33" t="b">
        <x:v>1</x:v>
      </x:c>
      <x:c r="Q524" s="19" t="n">
        <x:v>1</x:v>
      </x:c>
      <x:c r="R524" s="19" t="str">
        <x:v>superseded-answer-count</x:v>
      </x:c>
    </x:row>
    <x:row r="525" ht="15" hidden="0" customHeight="1">
      <x:c r="A525" s="19" t="str">
        <x:v>客观四企</x:v>
      </x:c>
      <x:c r="B525" s="19" t="str">
        <x:v>SRC-ENF-PRO</x:v>
      </x:c>
      <x:c r="C525" s="19" t="str">
        <x:v>燧原科技</x:v>
      </x:c>
      <x:c r="D525" s="19" t="str">
        <x:v>招股意向书</x:v>
      </x:c>
      <x:c r="E525" s="19" t="str">
        <x:v>首次公开发行股票并在科创板上市招股意向书</x:v>
      </x:c>
      <x:c r="F525" s="19"/>
      <x:c r="G525" s="19"/>
      <x:c r="H525" s="19"/>
      <x:c r="I525" s="19" t="str">
        <x:v>2026-08-25</x:v>
      </x:c>
      <x:c r="J525" s="19" t="str">
        <x:v>https://www.cninfo.com.cn/new/disclosure/stock?stockCode=688801&amp;orgId=9920000029</x:v>
      </x:c>
      <x:c r="K525" s="19" t="str">
        <x:v>https://www.cninfo.com.cn/new/disclosure/stock?stockCode=688801&amp;orgId=9920000029</x:v>
      </x:c>
      <x:c r="L525" s="19"/>
      <x:c r="M525" s="19"/>
      <x:c r="N525" s="19"/>
      <x:c r="O525" s="19" t="str">
        <x:v>后验验证</x:v>
      </x:c>
      <x:c r="P525" s="33" t="b">
        <x:v>1</x:v>
      </x:c>
      <x:c r="Q525" s="19" t="n">
        <x:v>1</x:v>
      </x:c>
      <x:c r="R525" s="19" t="str">
        <x:v>legacy-audited</x:v>
      </x:c>
    </x:row>
    <x:row r="526" ht="15" hidden="0" customHeight="1">
      <x:c r="A526" s="19" t="str">
        <x:v>客观四企</x:v>
      </x:c>
      <x:c r="B526" s="19" t="str">
        <x:v>SRC-HUA-AR22</x:v>
      </x:c>
      <x:c r="C526" s="19" t="str">
        <x:v>华微电子</x:v>
      </x:c>
      <x:c r="D526" s="19" t="str">
        <x:v>官方年报</x:v>
      </x:c>
      <x:c r="E526" s="19" t="str">
        <x:v>2022年年度报告（更新版）</x:v>
      </x:c>
      <x:c r="F526" s="19"/>
      <x:c r="G526" s="19"/>
      <x:c r="H526" s="19"/>
      <x:c r="I526" s="19" t="str">
        <x:v>2023-06-30</x:v>
      </x:c>
      <x:c r="J526" s="19" t="str">
        <x:v>https://static.cninfo.com.cn/finalpage/2023-06-30/1217164546.PDF</x:v>
      </x:c>
      <x:c r="K526" s="19" t="str">
        <x:v>https://static.cninfo.com.cn/finalpage/2023-06-30/1217164546.PDF</x:v>
      </x:c>
      <x:c r="L526" s="19"/>
      <x:c r="M526" s="19"/>
      <x:c r="N526" s="19"/>
      <x:c r="O526" s="19" t="str">
        <x:v>盲测特征</x:v>
      </x:c>
      <x:c r="P526" s="33" t="b">
        <x:v>1</x:v>
      </x:c>
      <x:c r="Q526" s="19" t="n">
        <x:v>1</x:v>
      </x:c>
      <x:c r="R526" s="19" t="str">
        <x:v>legacy-audited</x:v>
      </x:c>
    </x:row>
    <x:row r="527" ht="15" hidden="0" customHeight="1">
      <x:c r="A527" s="19" t="str">
        <x:v>客观四企</x:v>
      </x:c>
      <x:c r="B527" s="19" t="str">
        <x:v>SRC-HUA-AR23</x:v>
      </x:c>
      <x:c r="C527" s="19" t="str">
        <x:v>华微电子</x:v>
      </x:c>
      <x:c r="D527" s="19" t="str">
        <x:v>年报镜像/公告定位</x:v>
      </x:c>
      <x:c r="E527" s="19" t="str">
        <x:v>2023年年度报告</x:v>
      </x:c>
      <x:c r="F527" s="19"/>
      <x:c r="G527" s="19"/>
      <x:c r="H527" s="19"/>
      <x:c r="I527" s="19" t="str">
        <x:v>2024-04-30</x:v>
      </x:c>
      <x:c r="J527" s="19" t="str">
        <x:v>https://data.eastmoney.com/notices/detail/600360/AN202404291631677233.html</x:v>
      </x:c>
      <x:c r="K527" s="19" t="str">
        <x:v>https://data.eastmoney.com/notices/detail/600360/AN202404291631677233.html</x:v>
      </x:c>
      <x:c r="L527" s="19"/>
      <x:c r="M527" s="19"/>
      <x:c r="N527" s="19"/>
      <x:c r="O527" s="19" t="str">
        <x:v>公开红旗验证</x:v>
      </x:c>
      <x:c r="P527" s="33" t="b">
        <x:v>1</x:v>
      </x:c>
      <x:c r="Q527" s="19" t="n">
        <x:v>1</x:v>
      </x:c>
      <x:c r="R527" s="19" t="str">
        <x:v>legacy-audited</x:v>
      </x:c>
    </x:row>
    <x:row r="528" ht="15" hidden="0" customHeight="1">
      <x:c r="A528" s="19" t="str">
        <x:v>客观四企</x:v>
      </x:c>
      <x:c r="B528" s="19" t="str">
        <x:v>SRC-HUA-CSRC</x:v>
      </x:c>
      <x:c r="C528" s="19" t="str">
        <x:v>华微电子</x:v>
      </x:c>
      <x:c r="D528" s="19" t="str">
        <x:v>行政处罚决定</x:v>
      </x:c>
      <x:c r="E528" s="19" t="str">
        <x:v>吉林证监局行政处罚决定书</x:v>
      </x:c>
      <x:c r="F528" s="19"/>
      <x:c r="G528" s="19"/>
      <x:c r="H528" s="19"/>
      <x:c r="I528" s="19" t="str">
        <x:v>2025</x:v>
      </x:c>
      <x:c r="J528" s="19" t="str">
        <x:v>https://www.csrc.gov.cn/jilin/c103788/c7554826/content.shtml</x:v>
      </x:c>
      <x:c r="K528" s="19" t="str">
        <x:v>https://www.csrc.gov.cn/jilin/c103788/c7554826/content.shtml</x:v>
      </x:c>
      <x:c r="L528" s="19"/>
      <x:c r="M528" s="19"/>
      <x:c r="N528" s="19"/>
      <x:c r="O528" s="19" t="str">
        <x:v>最终标签</x:v>
      </x:c>
      <x:c r="P528" s="33" t="b">
        <x:v>1</x:v>
      </x:c>
      <x:c r="Q528" s="19" t="n">
        <x:v>1</x:v>
      </x:c>
      <x:c r="R528" s="19" t="str">
        <x:v>legacy-audited</x:v>
      </x:c>
    </x:row>
    <x:row r="529" ht="15" hidden="0" customHeight="1">
      <x:c r="A529" s="19" t="str">
        <x:v>客观四企</x:v>
      </x:c>
      <x:c r="B529" s="19" t="str">
        <x:v>SRC-HUA-RS22</x:v>
      </x:c>
      <x:c r="C529" s="19" t="str">
        <x:v>华微电子</x:v>
      </x:c>
      <x:c r="D529" s="19" t="str">
        <x:v>上证路演</x:v>
      </x:c>
      <x:c r="E529" s="19" t="str">
        <x:v>2022年度业绩说明会</x:v>
      </x:c>
      <x:c r="F529" s="19"/>
      <x:c r="G529" s="19"/>
      <x:c r="H529" s="19"/>
      <x:c r="I529" s="19" t="str">
        <x:v>2023</x:v>
      </x:c>
      <x:c r="J529" s="19" t="str">
        <x:v>https://roadshow.sseinfo.com/activityDetails/13490</x:v>
      </x:c>
      <x:c r="K529" s="19" t="str">
        <x:v>https://roadshow.sseinfo.com/activityDetails/13490</x:v>
      </x:c>
      <x:c r="L529" s="19"/>
      <x:c r="M529" s="19"/>
      <x:c r="N529" s="19"/>
      <x:c r="O529" s="19" t="str">
        <x:v>TONE缺口核验</x:v>
      </x:c>
      <x:c r="P529" s="33" t="b">
        <x:v>1</x:v>
      </x:c>
      <x:c r="Q529" s="19" t="n">
        <x:v>1</x:v>
      </x:c>
      <x:c r="R529" s="19" t="str">
        <x:v>legacy-audited</x:v>
      </x:c>
    </x:row>
    <x:row r="530" ht="15" hidden="0" customHeight="1">
      <x:c r="A530" s="19" t="str">
        <x:v>客观四企</x:v>
      </x:c>
      <x:c r="B530" s="19" t="str">
        <x:v>SRC-HUA-REM</x:v>
      </x:c>
      <x:c r="C530" s="19" t="str">
        <x:v>华微电子</x:v>
      </x:c>
      <x:c r="D530" s="19" t="str">
        <x:v>官方公告</x:v>
      </x:c>
      <x:c r="E530" s="19" t="str">
        <x:v>撤销退市风险警示公告</x:v>
      </x:c>
      <x:c r="F530" s="19"/>
      <x:c r="G530" s="19"/>
      <x:c r="H530" s="19"/>
      <x:c r="I530" s="19" t="str">
        <x:v>2026-05-19</x:v>
      </x:c>
      <x:c r="J530" s="19" t="str">
        <x:v>https://static.cninfo.com.cn/finalpage/2026-05-19/1225312619.PDF</x:v>
      </x:c>
      <x:c r="K530" s="19" t="str">
        <x:v>https://static.cninfo.com.cn/finalpage/2026-05-19/1225312619.PDF</x:v>
      </x:c>
      <x:c r="L530" s="19"/>
      <x:c r="M530" s="19"/>
      <x:c r="N530" s="19"/>
      <x:c r="O530" s="19" t="str">
        <x:v>状态更新</x:v>
      </x:c>
      <x:c r="P530" s="33" t="b">
        <x:v>1</x:v>
      </x:c>
      <x:c r="Q530" s="19" t="n">
        <x:v>1</x:v>
      </x:c>
      <x:c r="R530" s="19" t="str">
        <x:v>legacy-audited</x:v>
      </x:c>
    </x:row>
    <x:row r="531" ht="15" hidden="0" customHeight="1">
      <x:c r="A531" s="19" t="str">
        <x:v>客观四企</x:v>
      </x:c>
      <x:c r="B531" s="19" t="str">
        <x:v>SRC-HR-AR25</x:v>
      </x:c>
      <x:c r="C531" s="19" t="str">
        <x:v>恒瑞医药</x:v>
      </x:c>
      <x:c r="D531" s="19" t="str">
        <x:v>官方年报</x:v>
      </x:c>
      <x:c r="E531" s="19" t="str">
        <x:v>2025年年度报告</x:v>
      </x:c>
      <x:c r="F531" s="19"/>
      <x:c r="G531" s="19"/>
      <x:c r="H531" s="19"/>
      <x:c r="I531" s="19" t="str">
        <x:v>2026-03-26</x:v>
      </x:c>
      <x:c r="J531" s="19" t="str">
        <x:v>https://static.cninfo.com.cn/finalpage/2026-03-26/1225032585.PDF</x:v>
      </x:c>
      <x:c r="K531" s="19" t="str">
        <x:v>https://static.cninfo.com.cn/finalpage/2026-03-26/1225032585.PDF</x:v>
      </x:c>
      <x:c r="L531" s="19"/>
      <x:c r="M531" s="19"/>
      <x:c r="N531" s="19"/>
      <x:c r="O531" s="19" t="str">
        <x:v>叙事+客观</x:v>
      </x:c>
      <x:c r="P531" s="33" t="b">
        <x:v>1</x:v>
      </x:c>
      <x:c r="Q531" s="19" t="n">
        <x:v>1</x:v>
      </x:c>
      <x:c r="R531" s="19" t="str">
        <x:v>legacy-audited</x:v>
      </x:c>
    </x:row>
    <x:row r="532" ht="15" hidden="0" customHeight="1">
      <x:c r="A532" s="19" t="str">
        <x:v>客观四企</x:v>
      </x:c>
      <x:c r="B532" s="19" t="str">
        <x:v>SRC-HR-RS25</x:v>
      </x:c>
      <x:c r="C532" s="19" t="str">
        <x:v>恒瑞医药</x:v>
      </x:c>
      <x:c r="D532" s="19" t="str">
        <x:v>上证路演</x:v>
      </x:c>
      <x:c r="E532" s="19" t="str">
        <x:v>2025年年度业绩暨现金分红说明会</x:v>
      </x:c>
      <x:c r="F532" s="19"/>
      <x:c r="G532" s="19"/>
      <x:c r="H532" s="19"/>
      <x:c r="I532" s="19" t="str">
        <x:v>2026-04-07</x:v>
      </x:c>
      <x:c r="J532" s="19" t="str">
        <x:v>https://roadshow.sseinfo.com/activityDetails/38193</x:v>
      </x:c>
      <x:c r="K532" s="19" t="str">
        <x:v>https://roadshow.sseinfo.com/activityDetails/38193</x:v>
      </x:c>
      <x:c r="L532" s="19"/>
      <x:c r="M532" s="19"/>
      <x:c r="N532" s="19"/>
      <x:c r="O532" s="19" t="str">
        <x:v>TONE</x:v>
      </x:c>
      <x:c r="P532" s="33" t="b">
        <x:v>1</x:v>
      </x:c>
      <x:c r="Q532" s="19" t="n">
        <x:v>1</x:v>
      </x:c>
      <x:c r="R532" s="19" t="str">
        <x:v>legacy-audited</x:v>
      </x:c>
    </x:row>
    <x:row r="533" ht="15" hidden="0" customHeight="1">
      <x:c r="A533" s="19" t="str">
        <x:v>客观四企</x:v>
      </x:c>
      <x:c r="B533" s="19" t="str">
        <x:v>SRC-OBJ-DATA</x:v>
      </x:c>
      <x:c r="C533" s="19" t="str"/>
      <x:c r="D533" s="19" t="str">
        <x:v>本地审计数据</x:v>
      </x:c>
      <x:c r="E533" s="19" t="str">
        <x:v>R01-R22统一同业数据集</x:v>
      </x:c>
      <x:c r="F533" s="19"/>
      <x:c r="G533" s="19"/>
      <x:c r="H533" s="19"/>
      <x:c r="I533" s="19" t="str">
        <x:v>2026-08-26</x:v>
      </x:c>
      <x:c r="J533" s="19"/>
      <x:c r="K533" s="19"/>
      <x:c r="L533" s="19" t="str">
        <x:v>/Users/mao/Documents/kechuang-risk-platform/src/data/industry/r01-r22-unified.json</x:v>
      </x:c>
      <x:c r="M533" s="19"/>
      <x:c r="N533" s="19"/>
      <x:c r="O533" s="19" t="str">
        <x:v>客观基准</x:v>
      </x:c>
      <x:c r="P533" s="33" t="b">
        <x:v>1</x:v>
      </x:c>
      <x:c r="Q533" s="19" t="n">
        <x:v>1</x:v>
      </x:c>
      <x:c r="R533" s="19" t="str">
        <x:v>legacy-audited</x:v>
      </x:c>
    </x:row>
    <x:row r="534" ht="15" hidden="0" customHeight="1">
      <x:c r="A534" s="19" t="str">
        <x:v>客观四企</x:v>
      </x:c>
      <x:c r="B534" s="19" t="str">
        <x:v>SRC-METHOD-PDQI</x:v>
      </x:c>
      <x:c r="C534" s="19" t="str"/>
      <x:c r="D534" s="19" t="str">
        <x:v>用户文档</x:v>
      </x:c>
      <x:c r="E534" s="19" t="str">
        <x:v>风险.docx</x:v>
      </x:c>
      <x:c r="F534" s="19"/>
      <x:c r="G534" s="19"/>
      <x:c r="H534" s="19"/>
      <x:c r="I534" s="19"/>
      <x:c r="J534" s="19"/>
      <x:c r="K534" s="19"/>
      <x:c r="L534" s="19" t="str">
        <x:v>/Users/mao/Downloads/风险.docx</x:v>
      </x:c>
      <x:c r="M534" s="19"/>
      <x:c r="N534" s="19"/>
      <x:c r="O534" s="19" t="str">
        <x:v>PDQI</x:v>
      </x:c>
      <x:c r="P534" s="33" t="b">
        <x:v>1</x:v>
      </x:c>
      <x:c r="Q534" s="19" t="n">
        <x:v>1</x:v>
      </x:c>
      <x:c r="R534" s="19" t="str">
        <x:v>legacy-audited</x:v>
      </x:c>
    </x:row>
    <x:row r="535" ht="15" hidden="0" customHeight="1">
      <x:c r="A535" s="19" t="str">
        <x:v>客观四企</x:v>
      </x:c>
      <x:c r="B535" s="19" t="str">
        <x:v>SRC-METHOD-ITAG</x:v>
      </x:c>
      <x:c r="C535" s="19" t="str"/>
      <x:c r="D535" s="19" t="str">
        <x:v>用户文档</x:v>
      </x:c>
      <x:c r="E535" s="19" t="str">
        <x:v>叙事夸大性指标.docx</x:v>
      </x:c>
      <x:c r="F535" s="19"/>
      <x:c r="G535" s="19"/>
      <x:c r="H535" s="19"/>
      <x:c r="I535" s="19"/>
      <x:c r="J535" s="19"/>
      <x:c r="K535" s="19"/>
      <x:c r="L535" s="19" t="str">
        <x:v>/Users/mao/Downloads/叙事夸大性指标.docx</x:v>
      </x:c>
      <x:c r="M535" s="19"/>
      <x:c r="N535" s="19"/>
      <x:c r="O535" s="19" t="str">
        <x:v>ITAG</x:v>
      </x:c>
      <x:c r="P535" s="33" t="b">
        <x:v>1</x:v>
      </x:c>
      <x:c r="Q535" s="19" t="n">
        <x:v>1</x:v>
      </x:c>
      <x:c r="R535" s="19" t="str">
        <x:v>legacy-audited</x:v>
      </x:c>
    </x:row>
    <x:row r="536" ht="15" hidden="0" customHeight="1">
      <x:c r="A536" s="19" t="str">
        <x:v>客观四企</x:v>
      </x:c>
      <x:c r="B536" s="19" t="str">
        <x:v>SRC-METHOD-TONE</x:v>
      </x:c>
      <x:c r="C536" s="19" t="str"/>
      <x:c r="D536" s="19" t="str">
        <x:v>用户文档</x:v>
      </x:c>
      <x:c r="E536" s="19" t="str">
        <x:v>管理者语调风险.docx</x:v>
      </x:c>
      <x:c r="F536" s="19"/>
      <x:c r="G536" s="19"/>
      <x:c r="H536" s="19"/>
      <x:c r="I536" s="19"/>
      <x:c r="J536" s="19"/>
      <x:c r="K536" s="19"/>
      <x:c r="L536" s="19" t="str">
        <x:v>/Users/mao/Downloads/管理者语调风险.docx</x:v>
      </x:c>
      <x:c r="M536" s="19"/>
      <x:c r="N536" s="19"/>
      <x:c r="O536" s="19" t="str">
        <x:v>TONE</x:v>
      </x:c>
      <x:c r="P536" s="33" t="b">
        <x:v>1</x:v>
      </x:c>
      <x:c r="Q536" s="19" t="n">
        <x:v>1</x:v>
      </x:c>
      <x:c r="R536" s="19" t="str">
        <x:v>legacy-audited</x:v>
      </x:c>
    </x:row>
    <x:row r="537" ht="15" hidden="0" customHeight="1">
      <x:c r="A537" s="19" t="str">
        <x:v>客观四企</x:v>
      </x:c>
      <x:c r="B537" s="19" t="str">
        <x:v>digital-chip:source-309</x:v>
      </x:c>
      <x:c r="C537" s="19" t="str"/>
      <x:c r="D537" s="19" t="str">
        <x:v>统一客观数据集派生来源</x:v>
      </x:c>
      <x:c r="E537" s="19" t="str">
        <x:v>digital-chip:source-309</x:v>
      </x:c>
      <x:c r="F537" s="19"/>
      <x:c r="G537" s="19"/>
      <x:c r="H537" s="19"/>
      <x:c r="I537" s="19" t="str">
        <x:v>2026-08-26</x:v>
      </x:c>
      <x:c r="J537" s="19"/>
      <x:c r="K537" s="19"/>
      <x:c r="L537" s="19" t="str">
        <x:v>/Users/mao/Documents/kechuang-risk-platform/src/data/industry/r01-r22-unified.json</x:v>
      </x:c>
      <x:c r="M537" s="19"/>
      <x:c r="N537" s="19"/>
      <x:c r="O537" s="19" t="str">
        <x:v>objective-indicator-source</x:v>
      </x:c>
      <x:c r="P537" s="33" t="b">
        <x:v>1</x:v>
      </x:c>
      <x:c r="Q537" s="19" t="n">
        <x:v>1</x:v>
      </x:c>
      <x:c r="R537" s="19" t="str">
        <x:v>derived-from-governed-dataset</x:v>
      </x:c>
    </x:row>
    <x:row r="538" ht="15" hidden="0" customHeight="1">
      <x:c r="A538" s="19" t="str">
        <x:v>客观四企</x:v>
      </x:c>
      <x:c r="B538" s="19" t="str">
        <x:v>digital-chip:source-16</x:v>
      </x:c>
      <x:c r="C538" s="19" t="str"/>
      <x:c r="D538" s="19" t="str">
        <x:v>统一客观数据集派生来源</x:v>
      </x:c>
      <x:c r="E538" s="19" t="str">
        <x:v>digital-chip:source-16</x:v>
      </x:c>
      <x:c r="F538" s="19"/>
      <x:c r="G538" s="19"/>
      <x:c r="H538" s="19"/>
      <x:c r="I538" s="19" t="str">
        <x:v>2026-08-26</x:v>
      </x:c>
      <x:c r="J538" s="19"/>
      <x:c r="K538" s="19"/>
      <x:c r="L538" s="19" t="str">
        <x:v>/Users/mao/Documents/kechuang-risk-platform/src/data/industry/r01-r22-unified.json</x:v>
      </x:c>
      <x:c r="M538" s="19"/>
      <x:c r="N538" s="19"/>
      <x:c r="O538" s="19" t="str">
        <x:v>objective-indicator-source</x:v>
      </x:c>
      <x:c r="P538" s="33" t="b">
        <x:v>1</x:v>
      </x:c>
      <x:c r="Q538" s="19" t="n">
        <x:v>1</x:v>
      </x:c>
      <x:c r="R538" s="19" t="str">
        <x:v>derived-from-governed-dataset</x:v>
      </x:c>
    </x:row>
    <x:row r="539" ht="15" hidden="0" customHeight="1">
      <x:c r="A539" s="19" t="str">
        <x:v>客观四企</x:v>
      </x:c>
      <x:c r="B539" s="19" t="str">
        <x:v>digital-chip:source-272</x:v>
      </x:c>
      <x:c r="C539" s="19" t="str"/>
      <x:c r="D539" s="19" t="str">
        <x:v>统一客观数据集派生来源</x:v>
      </x:c>
      <x:c r="E539" s="19" t="str">
        <x:v>digital-chip:source-272</x:v>
      </x:c>
      <x:c r="F539" s="19"/>
      <x:c r="G539" s="19"/>
      <x:c r="H539" s="19"/>
      <x:c r="I539" s="19" t="str">
        <x:v>2026-08-26</x:v>
      </x:c>
      <x:c r="J539" s="19"/>
      <x:c r="K539" s="19"/>
      <x:c r="L539" s="19" t="str">
        <x:v>/Users/mao/Documents/kechuang-risk-platform/src/data/industry/r01-r22-unified.json</x:v>
      </x:c>
      <x:c r="M539" s="19"/>
      <x:c r="N539" s="19"/>
      <x:c r="O539" s="19" t="str">
        <x:v>objective-indicator-source</x:v>
      </x:c>
      <x:c r="P539" s="33" t="b">
        <x:v>1</x:v>
      </x:c>
      <x:c r="Q539" s="19" t="n">
        <x:v>1</x:v>
      </x:c>
      <x:c r="R539" s="19" t="str">
        <x:v>derived-from-governed-dataset</x:v>
      </x:c>
    </x:row>
    <x:row r="540" ht="15" hidden="0" customHeight="1">
      <x:c r="A540" s="19" t="str">
        <x:v>客观四企</x:v>
      </x:c>
      <x:c r="B540" s="19" t="str">
        <x:v>digital-chip:source-235</x:v>
      </x:c>
      <x:c r="C540" s="19" t="str"/>
      <x:c r="D540" s="19" t="str">
        <x:v>统一客观数据集派生来源</x:v>
      </x:c>
      <x:c r="E540" s="19" t="str">
        <x:v>digital-chip:source-235</x:v>
      </x:c>
      <x:c r="F540" s="19"/>
      <x:c r="G540" s="19"/>
      <x:c r="H540" s="19"/>
      <x:c r="I540" s="19" t="str">
        <x:v>2026-08-26</x:v>
      </x:c>
      <x:c r="J540" s="19"/>
      <x:c r="K540" s="19"/>
      <x:c r="L540" s="19" t="str">
        <x:v>/Users/mao/Documents/kechuang-risk-platform/src/data/industry/r01-r22-unified.json</x:v>
      </x:c>
      <x:c r="M540" s="19"/>
      <x:c r="N540" s="19"/>
      <x:c r="O540" s="19" t="str">
        <x:v>objective-indicator-source</x:v>
      </x:c>
      <x:c r="P540" s="33" t="b">
        <x:v>1</x:v>
      </x:c>
      <x:c r="Q540" s="19" t="n">
        <x:v>1</x:v>
      </x:c>
      <x:c r="R540" s="19" t="str">
        <x:v>derived-from-governed-dataset</x:v>
      </x:c>
    </x:row>
    <x:row r="541" ht="15" hidden="0" customHeight="1">
      <x:c r="A541" s="19" t="str">
        <x:v>客观四企</x:v>
      </x:c>
      <x:c r="B541" s="19" t="str">
        <x:v>digital-chip:source-87</x:v>
      </x:c>
      <x:c r="C541" s="19" t="str"/>
      <x:c r="D541" s="19" t="str">
        <x:v>统一客观数据集派生来源</x:v>
      </x:c>
      <x:c r="E541" s="19" t="str">
        <x:v>digital-chip:source-87</x:v>
      </x:c>
      <x:c r="F541" s="19"/>
      <x:c r="G541" s="19"/>
      <x:c r="H541" s="19"/>
      <x:c r="I541" s="19" t="str">
        <x:v>2026-08-26</x:v>
      </x:c>
      <x:c r="J541" s="19"/>
      <x:c r="K541" s="19"/>
      <x:c r="L541" s="19" t="str">
        <x:v>/Users/mao/Documents/kechuang-risk-platform/src/data/industry/r01-r22-unified.json</x:v>
      </x:c>
      <x:c r="M541" s="19"/>
      <x:c r="N541" s="19"/>
      <x:c r="O541" s="19" t="str">
        <x:v>objective-indicator-source</x:v>
      </x:c>
      <x:c r="P541" s="33" t="b">
        <x:v>1</x:v>
      </x:c>
      <x:c r="Q541" s="19" t="n">
        <x:v>1</x:v>
      </x:c>
      <x:c r="R541" s="19" t="str">
        <x:v>derived-from-governed-dataset</x:v>
      </x:c>
    </x:row>
    <x:row r="542" ht="15" hidden="0" customHeight="1">
      <x:c r="A542" s="19" t="str">
        <x:v>客观四企</x:v>
      </x:c>
      <x:c r="B542" s="19" t="str">
        <x:v>digital-chip:source-15</x:v>
      </x:c>
      <x:c r="C542" s="19" t="str"/>
      <x:c r="D542" s="19" t="str">
        <x:v>统一客观数据集派生来源</x:v>
      </x:c>
      <x:c r="E542" s="19" t="str">
        <x:v>digital-chip:source-15</x:v>
      </x:c>
      <x:c r="F542" s="19"/>
      <x:c r="G542" s="19"/>
      <x:c r="H542" s="19"/>
      <x:c r="I542" s="19" t="str">
        <x:v>2026-08-26</x:v>
      </x:c>
      <x:c r="J542" s="19"/>
      <x:c r="K542" s="19"/>
      <x:c r="L542" s="19" t="str">
        <x:v>/Users/mao/Documents/kechuang-risk-platform/src/data/industry/r01-r22-unified.json</x:v>
      </x:c>
      <x:c r="M542" s="19"/>
      <x:c r="N542" s="19"/>
      <x:c r="O542" s="19" t="str">
        <x:v>objective-indicator-source</x:v>
      </x:c>
      <x:c r="P542" s="33" t="b">
        <x:v>1</x:v>
      </x:c>
      <x:c r="Q542" s="19" t="n">
        <x:v>1</x:v>
      </x:c>
      <x:c r="R542" s="19" t="str">
        <x:v>derived-from-governed-dataset</x:v>
      </x:c>
    </x:row>
    <x:row r="543" ht="15" hidden="0" customHeight="1">
      <x:c r="A543" s="19" t="str">
        <x:v>客观四企</x:v>
      </x:c>
      <x:c r="B543" s="19" t="str">
        <x:v>digital-chip:source-74</x:v>
      </x:c>
      <x:c r="C543" s="19" t="str"/>
      <x:c r="D543" s="19" t="str">
        <x:v>统一客观数据集派生来源</x:v>
      </x:c>
      <x:c r="E543" s="19" t="str">
        <x:v>digital-chip:source-74</x:v>
      </x:c>
      <x:c r="F543" s="19"/>
      <x:c r="G543" s="19"/>
      <x:c r="H543" s="19"/>
      <x:c r="I543" s="19" t="str">
        <x:v>2026-08-26</x:v>
      </x:c>
      <x:c r="J543" s="19"/>
      <x:c r="K543" s="19"/>
      <x:c r="L543" s="19" t="str">
        <x:v>/Users/mao/Documents/kechuang-risk-platform/src/data/industry/r01-r22-unified.json</x:v>
      </x:c>
      <x:c r="M543" s="19"/>
      <x:c r="N543" s="19"/>
      <x:c r="O543" s="19" t="str">
        <x:v>objective-indicator-source</x:v>
      </x:c>
      <x:c r="P543" s="33" t="b">
        <x:v>1</x:v>
      </x:c>
      <x:c r="Q543" s="19" t="n">
        <x:v>1</x:v>
      </x:c>
      <x:c r="R543" s="19" t="str">
        <x:v>derived-from-governed-dataset</x:v>
      </x:c>
    </x:row>
    <x:row r="544" ht="15" hidden="0" customHeight="1">
      <x:c r="A544" s="19" t="str">
        <x:v>客观四企</x:v>
      </x:c>
      <x:c r="B544" s="19" t="str">
        <x:v>pilot-source-enflame-prospectus</x:v>
      </x:c>
      <x:c r="C544" s="19" t="str"/>
      <x:c r="D544" s="19" t="str">
        <x:v>统一客观数据集派生来源</x:v>
      </x:c>
      <x:c r="E544" s="19" t="str">
        <x:v>pilot-source-enflame-prospectus</x:v>
      </x:c>
      <x:c r="F544" s="19"/>
      <x:c r="G544" s="19"/>
      <x:c r="H544" s="19"/>
      <x:c r="I544" s="19" t="str">
        <x:v>2026-08-26</x:v>
      </x:c>
      <x:c r="J544" s="19"/>
      <x:c r="K544" s="19"/>
      <x:c r="L544" s="19" t="str">
        <x:v>/Users/mao/Documents/kechuang-risk-platform/src/data/industry/r01-r22-unified.json</x:v>
      </x:c>
      <x:c r="M544" s="19"/>
      <x:c r="N544" s="19"/>
      <x:c r="O544" s="19" t="str">
        <x:v>objective-indicator-source</x:v>
      </x:c>
      <x:c r="P544" s="33" t="b">
        <x:v>1</x:v>
      </x:c>
      <x:c r="Q544" s="19" t="n">
        <x:v>1</x:v>
      </x:c>
      <x:c r="R544" s="19" t="str">
        <x:v>derived-from-governed-dataset</x:v>
      </x:c>
    </x:row>
    <x:row r="545" ht="15" hidden="0" customHeight="1">
      <x:c r="A545" s="19" t="str">
        <x:v>客观四企</x:v>
      </x:c>
      <x:c r="B545" s="19" t="str">
        <x:v>pilot-source-huami-2022</x:v>
      </x:c>
      <x:c r="C545" s="19" t="str"/>
      <x:c r="D545" s="19" t="str">
        <x:v>统一客观数据集派生来源</x:v>
      </x:c>
      <x:c r="E545" s="19" t="str">
        <x:v>pilot-source-huami-2022</x:v>
      </x:c>
      <x:c r="F545" s="19"/>
      <x:c r="G545" s="19"/>
      <x:c r="H545" s="19"/>
      <x:c r="I545" s="19" t="str">
        <x:v>2026-08-26</x:v>
      </x:c>
      <x:c r="J545" s="19"/>
      <x:c r="K545" s="19"/>
      <x:c r="L545" s="19" t="str">
        <x:v>/Users/mao/Documents/kechuang-risk-platform/src/data/industry/r01-r22-unified.json</x:v>
      </x:c>
      <x:c r="M545" s="19"/>
      <x:c r="N545" s="19"/>
      <x:c r="O545" s="19" t="str">
        <x:v>objective-indicator-source</x:v>
      </x:c>
      <x:c r="P545" s="33" t="b">
        <x:v>1</x:v>
      </x:c>
      <x:c r="Q545" s="19" t="n">
        <x:v>1</x:v>
      </x:c>
      <x:c r="R545" s="19" t="str">
        <x:v>derived-from-governed-dataset</x:v>
      </x:c>
    </x:row>
    <x:row r="546" ht="15" hidden="0" customHeight="1">
      <x:c r="A546" s="19" t="str">
        <x:v>客观四企</x:v>
      </x:c>
      <x:c r="B546" s="19" t="str">
        <x:v>pilot-source-hengrui-2025</x:v>
      </x:c>
      <x:c r="C546" s="19" t="str"/>
      <x:c r="D546" s="19" t="str">
        <x:v>统一客观数据集派生来源</x:v>
      </x:c>
      <x:c r="E546" s="19" t="str">
        <x:v>pilot-source-hengrui-2025</x:v>
      </x:c>
      <x:c r="F546" s="19"/>
      <x:c r="G546" s="19"/>
      <x:c r="H546" s="19"/>
      <x:c r="I546" s="19" t="str">
        <x:v>2026-08-26</x:v>
      </x:c>
      <x:c r="J546" s="19"/>
      <x:c r="K546" s="19"/>
      <x:c r="L546" s="19" t="str">
        <x:v>/Users/mao/Documents/kechuang-risk-platform/src/data/industry/r01-r22-unified.json</x:v>
      </x:c>
      <x:c r="M546" s="19"/>
      <x:c r="N546" s="19"/>
      <x:c r="O546" s="19" t="str">
        <x:v>objective-indicator-source</x:v>
      </x:c>
      <x:c r="P546" s="33" t="b">
        <x:v>1</x:v>
      </x:c>
      <x:c r="Q546" s="19" t="n">
        <x:v>1</x:v>
      </x:c>
      <x:c r="R546" s="19" t="str">
        <x:v>derived-from-governed-dataset</x:v>
      </x:c>
    </x:row>
  </x:sheetData>
  <x:mergeCells>
    <x:mergeCell ref="A1:R2"/>
    <x:mergeCell ref="A3:R3"/>
  </x:mergeCells>
  <x:conditionalFormatting sqref="Q5:Q546">
    <x:cfRule type="cellIs" dxfId="11" priority="1" operator="greaterThan">
      <x:formula>1</x:formula>
    </x:cfRule>
  </x:conditionalFormatting>
  <x:conditionalFormatting sqref="R5:R546">
    <x:cfRule type="containsText" dxfId="12" priority="2" operator="containsText" text="invalid"/>
  </x:conditionalFormatting>
  <x:pageMargins left="0.7" right="0.7" top="0.75" bottom="0.75" header="0.3" footer="0.3"/>
  <x:tableParts count="1">
    <x:tablePart xmlns:r="http://schemas.openxmlformats.org/officeDocument/2006/relationships" r:id="Rc84a50617d0a40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66" hidden="0" customWidth="1"/>
    <x:col min="3" max="3" width="38" hidden="0" customWidth="1"/>
    <x:col min="4" max="4" width="13" hidden="0" customWidth="1"/>
    <x:col min="5" max="5" width="13" hidden="0" customWidth="1"/>
    <x:col min="6" max="6" width="32" hidden="0" customWidth="1"/>
  </x:cols>
  <x:sheetData>
    <x:row r="1" ht="34" customHeight="1">
      <x:c r="A1" s="3" t="str">
        <x:v>指标—来源可追溯链接</x:v>
      </x:c>
      <x:c r="B1" s="3" t="str">
        <x:v>指标—来源可追溯链接</x:v>
      </x:c>
      <x:c r="C1" s="3" t="str">
        <x:v>指标—来源可追溯链接</x:v>
      </x:c>
      <x:c r="D1" s="3" t="str">
        <x:v>指标—来源可追溯链接</x:v>
      </x:c>
      <x:c r="E1" s="3" t="str">
        <x:v>指标—来源可追溯链接</x:v>
      </x:c>
      <x:c r="F1" s="3" t="str">
        <x:v>指标—来源可追溯链接</x:v>
      </x:c>
    </x:row>
    <x:row r="2" ht="34" customHeight="1">
      <x:c r="A2" s="3" t="str">
        <x:v>指标—来源可追溯链接</x:v>
      </x:c>
      <x:c r="B2" s="3" t="str">
        <x:v>指标—来源可追溯链接</x:v>
      </x:c>
      <x:c r="C2" s="3" t="str">
        <x:v>指标—来源可追溯链接</x:v>
      </x:c>
      <x:c r="D2" s="3" t="str">
        <x:v>指标—来源可追溯链接</x:v>
      </x:c>
      <x:c r="E2" s="3" t="str">
        <x:v>指标—来源可追溯链接</x:v>
      </x:c>
      <x:c r="F2" s="3" t="str">
        <x:v>指标—来源可追溯链接</x:v>
      </x:c>
    </x:row>
    <x:row r="3" ht="30" customHeight="1">
      <x:c r="A3" s="6" t="str">
        <x:v>同一指标引用重复来源时仅保留一条关系，并在raw occurrence列记录原始重复次数。 </x:v>
      </x:c>
      <x:c r="B3" s="6" t="str">
        <x:v>同一指标引用重复来源时仅保留一条关系，并在raw occurrence列记录原始重复次数。 </x:v>
      </x:c>
      <x:c r="C3" s="6" t="str">
        <x:v>同一指标引用重复来源时仅保留一条关系，并在raw occurrence列记录原始重复次数。 </x:v>
      </x:c>
      <x:c r="D3" s="6" t="str">
        <x:v>同一指标引用重复来源时仅保留一条关系，并在raw occurrence列记录原始重复次数。 </x:v>
      </x:c>
      <x:c r="E3" s="6" t="str">
        <x:v>同一指标引用重复来源时仅保留一条关系，并在raw occurrence列记录原始重复次数。 </x:v>
      </x:c>
      <x:c r="F3" s="6" t="str">
        <x:v>同一指标引用重复来源时仅保留一条关系，并在raw occurrence列记录原始重复次数。 </x:v>
      </x:c>
    </x:row>
    <x:row r="4" ht="15" hidden="0" customHeight="1">
      <x:c r="A4" s="15" t="str">
        <x:v>指标ID</x:v>
      </x:c>
      <x:c r="B4" s="15" t="str">
        <x:v>来源Key</x:v>
      </x:c>
      <x:c r="C4" s="15" t="str">
        <x:v>来源ID</x:v>
      </x:c>
      <x:c r="D4" s="15" t="str">
        <x:v>企业</x:v>
      </x:c>
      <x:c r="E4" s="15" t="str">
        <x:v>原始引用次数</x:v>
      </x:c>
      <x:c r="F4" s="15" t="str">
        <x:v>重复提示</x:v>
      </x:c>
    </x:row>
    <x:row r="5" ht="15" hidden="0" customHeight="1">
      <x:c r="A5" s="19" t="str">
        <x:v>objective-four-20260826:cambricon:R05:risk-score</x:v>
      </x:c>
      <x:c r="B5" s="19" t="str">
        <x:v>objective-four-20260826:digital-chip:source-309</x:v>
      </x:c>
      <x:c r="C5" s="19" t="str">
        <x:v>digital-chip:source-309</x:v>
      </x:c>
      <x:c r="D5" s="19" t="str"/>
      <x:c r="E5" s="19" t="n">
        <x:v>1</x:v>
      </x:c>
      <x:c r="F5" s="19" t="str"/>
    </x:row>
    <x:row r="6" ht="15" hidden="0" customHeight="1">
      <x:c r="A6" s="19" t="str">
        <x:v>objective-four-20260826:cambricon:R06:risk-score</x:v>
      </x:c>
      <x:c r="B6" s="19" t="str">
        <x:v>objective-four-20260826:digital-chip:source-16</x:v>
      </x:c>
      <x:c r="C6" s="19" t="str">
        <x:v>digital-chip:source-16</x:v>
      </x:c>
      <x:c r="D6" s="19" t="str"/>
      <x:c r="E6" s="19" t="n">
        <x:v>1</x:v>
      </x:c>
      <x:c r="F6" s="19" t="str"/>
    </x:row>
    <x:row r="7" ht="15" hidden="0" customHeight="1">
      <x:c r="A7" s="19" t="str">
        <x:v>objective-four-20260826:cambricon:R07:risk-score</x:v>
      </x:c>
      <x:c r="B7" s="19" t="str">
        <x:v>objective-four-20260826:digital-chip:source-16</x:v>
      </x:c>
      <x:c r="C7" s="19" t="str">
        <x:v>digital-chip:source-16</x:v>
      </x:c>
      <x:c r="D7" s="19" t="str"/>
      <x:c r="E7" s="19" t="n">
        <x:v>1</x:v>
      </x:c>
      <x:c r="F7" s="19" t="str"/>
    </x:row>
    <x:row r="8" ht="15" hidden="0" customHeight="1">
      <x:c r="A8" s="19" t="str">
        <x:v>objective-four-20260826:cambricon:R09:risk-score</x:v>
      </x:c>
      <x:c r="B8" s="19" t="str">
        <x:v>objective-four-20260826:digital-chip:source-272</x:v>
      </x:c>
      <x:c r="C8" s="19" t="str">
        <x:v>digital-chip:source-272</x:v>
      </x:c>
      <x:c r="D8" s="19" t="str"/>
      <x:c r="E8" s="19" t="n">
        <x:v>1</x:v>
      </x:c>
      <x:c r="F8" s="19" t="str"/>
    </x:row>
    <x:row r="9" ht="15" hidden="0" customHeight="1">
      <x:c r="A9" s="19" t="str">
        <x:v>objective-four-20260826:cambricon:R10:risk-score</x:v>
      </x:c>
      <x:c r="B9" s="19" t="str">
        <x:v>objective-four-20260826:digital-chip:source-235</x:v>
      </x:c>
      <x:c r="C9" s="19" t="str">
        <x:v>digital-chip:source-235</x:v>
      </x:c>
      <x:c r="D9" s="19" t="str"/>
      <x:c r="E9" s="19" t="n">
        <x:v>1</x:v>
      </x:c>
      <x:c r="F9" s="19" t="str"/>
    </x:row>
    <x:row r="10" ht="15" hidden="0" customHeight="1">
      <x:c r="A10" s="19" t="str">
        <x:v>objective-four-20260826:cambricon:R11:risk-score</x:v>
      </x:c>
      <x:c r="B10" s="19" t="str">
        <x:v>objective-four-20260826:digital-chip:source-87</x:v>
      </x:c>
      <x:c r="C10" s="19" t="str">
        <x:v>digital-chip:source-87</x:v>
      </x:c>
      <x:c r="D10" s="19" t="str"/>
      <x:c r="E10" s="19" t="n">
        <x:v>1</x:v>
      </x:c>
      <x:c r="F10" s="19" t="str"/>
    </x:row>
    <x:row r="11" ht="15" hidden="0" customHeight="1">
      <x:c r="A11" s="19" t="str">
        <x:v>objective-four-20260826:cambricon:R12:risk-score</x:v>
      </x:c>
      <x:c r="B11" s="19" t="str">
        <x:v>objective-four-20260826:digital-chip:source-235</x:v>
      </x:c>
      <x:c r="C11" s="19" t="str">
        <x:v>digital-chip:source-235</x:v>
      </x:c>
      <x:c r="D11" s="19" t="str"/>
      <x:c r="E11" s="19" t="n">
        <x:v>1</x:v>
      </x:c>
      <x:c r="F11" s="19" t="str"/>
    </x:row>
    <x:row r="12" ht="15" hidden="0" customHeight="1">
      <x:c r="A12" s="19" t="str">
        <x:v>objective-four-20260826:cambricon:R13:risk-score</x:v>
      </x:c>
      <x:c r="B12" s="19" t="str">
        <x:v>objective-four-20260826:digital-chip:source-16</x:v>
      </x:c>
      <x:c r="C12" s="19" t="str">
        <x:v>digital-chip:source-16</x:v>
      </x:c>
      <x:c r="D12" s="19" t="str"/>
      <x:c r="E12" s="19" t="n">
        <x:v>1</x:v>
      </x:c>
      <x:c r="F12" s="19" t="str"/>
    </x:row>
    <x:row r="13" ht="15" hidden="0" customHeight="1">
      <x:c r="A13" s="19" t="str">
        <x:v>objective-four-20260826:cambricon:R14:risk-score</x:v>
      </x:c>
      <x:c r="B13" s="19" t="str">
        <x:v>objective-four-20260826:digital-chip:source-16</x:v>
      </x:c>
      <x:c r="C13" s="19" t="str">
        <x:v>digital-chip:source-16</x:v>
      </x:c>
      <x:c r="D13" s="19" t="str"/>
      <x:c r="E13" s="19" t="n">
        <x:v>1</x:v>
      </x:c>
      <x:c r="F13" s="19" t="str"/>
    </x:row>
    <x:row r="14" ht="15" hidden="0" customHeight="1">
      <x:c r="A14" s="19" t="str">
        <x:v>objective-four-20260826:cambricon:R15:risk-score</x:v>
      </x:c>
      <x:c r="B14" s="19" t="str">
        <x:v>objective-four-20260826:digital-chip:source-15</x:v>
      </x:c>
      <x:c r="C14" s="19" t="str">
        <x:v>digital-chip:source-15</x:v>
      </x:c>
      <x:c r="D14" s="19" t="str"/>
      <x:c r="E14" s="19" t="n">
        <x:v>1</x:v>
      </x:c>
      <x:c r="F14" s="19" t="str"/>
    </x:row>
    <x:row r="15" ht="15" hidden="0" customHeight="1">
      <x:c r="A15" s="19" t="str">
        <x:v>objective-four-20260826:cambricon:R16:risk-score</x:v>
      </x:c>
      <x:c r="B15" s="19" t="str">
        <x:v>objective-four-20260826:digital-chip:source-16</x:v>
      </x:c>
      <x:c r="C15" s="19" t="str">
        <x:v>digital-chip:source-16</x:v>
      </x:c>
      <x:c r="D15" s="19" t="str"/>
      <x:c r="E15" s="19" t="n">
        <x:v>1</x:v>
      </x:c>
      <x:c r="F15" s="19" t="str"/>
    </x:row>
    <x:row r="16" ht="15" hidden="0" customHeight="1">
      <x:c r="A16" s="19" t="str">
        <x:v>objective-four-20260826:cambricon:R17:risk-score</x:v>
      </x:c>
      <x:c r="B16" s="19" t="str">
        <x:v>objective-four-20260826:digital-chip:source-272</x:v>
      </x:c>
      <x:c r="C16" s="19" t="str">
        <x:v>digital-chip:source-272</x:v>
      </x:c>
      <x:c r="D16" s="19" t="str"/>
      <x:c r="E16" s="19" t="n">
        <x:v>1</x:v>
      </x:c>
      <x:c r="F16" s="19" t="str"/>
    </x:row>
    <x:row r="17" ht="15" hidden="0" customHeight="1">
      <x:c r="A17" s="19" t="str">
        <x:v>objective-four-20260826:cambricon:R18:risk-score</x:v>
      </x:c>
      <x:c r="B17" s="19" t="str">
        <x:v>objective-four-20260826:digital-chip:source-15</x:v>
      </x:c>
      <x:c r="C17" s="19" t="str">
        <x:v>digital-chip:source-15</x:v>
      </x:c>
      <x:c r="D17" s="19" t="str"/>
      <x:c r="E17" s="19" t="n">
        <x:v>1</x:v>
      </x:c>
      <x:c r="F17" s="19" t="str"/>
    </x:row>
    <x:row r="18" ht="15" hidden="0" customHeight="1">
      <x:c r="A18" s="19" t="str">
        <x:v>objective-four-20260826:cambricon:R19:risk-score</x:v>
      </x:c>
      <x:c r="B18" s="19" t="str">
        <x:v>objective-four-20260826:digital-chip:source-74</x:v>
      </x:c>
      <x:c r="C18" s="19" t="str">
        <x:v>digital-chip:source-74</x:v>
      </x:c>
      <x:c r="D18" s="19" t="str"/>
      <x:c r="E18" s="19" t="n">
        <x:v>1</x:v>
      </x:c>
      <x:c r="F18" s="19" t="str"/>
    </x:row>
    <x:row r="19" ht="15" hidden="0" customHeight="1">
      <x:c r="A19" s="19" t="str">
        <x:v>objective-four-20260826:cambricon:R21:risk-score</x:v>
      </x:c>
      <x:c r="B19" s="19" t="str">
        <x:v>objective-four-20260826:digital-chip:source-235</x:v>
      </x:c>
      <x:c r="C19" s="19" t="str">
        <x:v>digital-chip:source-235</x:v>
      </x:c>
      <x:c r="D19" s="19" t="str"/>
      <x:c r="E19" s="19" t="n">
        <x:v>1</x:v>
      </x:c>
      <x:c r="F19" s="19" t="str"/>
    </x:row>
    <x:row r="20" ht="15" hidden="0" customHeight="1">
      <x:c r="A20" s="19" t="str">
        <x:v>objective-four-20260826:cambricon:R22:risk-score</x:v>
      </x:c>
      <x:c r="B20" s="19" t="str">
        <x:v>objective-four-20260826:digital-chip:source-16</x:v>
      </x:c>
      <x:c r="C20" s="19" t="str">
        <x:v>digital-chip:source-16</x:v>
      </x:c>
      <x:c r="D20" s="19" t="str"/>
      <x:c r="E20" s="19" t="n">
        <x:v>1</x:v>
      </x:c>
      <x:c r="F20" s="19" t="str"/>
    </x:row>
    <x:row r="21" ht="15" hidden="0" customHeight="1">
      <x:c r="A21" s="19" t="str">
        <x:v>objective-four-20260826:enflame:R05:risk-score</x:v>
      </x:c>
      <x:c r="B21" s="19" t="str">
        <x:v>objective-four-20260826:pilot-source-enflame-prospectus</x:v>
      </x:c>
      <x:c r="C21" s="19" t="str">
        <x:v>pilot-source-enflame-prospectus</x:v>
      </x:c>
      <x:c r="D21" s="19" t="str"/>
      <x:c r="E21" s="19" t="n">
        <x:v>1</x:v>
      </x:c>
      <x:c r="F21" s="19" t="str"/>
    </x:row>
    <x:row r="22" ht="15" hidden="0" customHeight="1">
      <x:c r="A22" s="19" t="str">
        <x:v>objective-four-20260826:enflame:R06:risk-score</x:v>
      </x:c>
      <x:c r="B22" s="19" t="str">
        <x:v>objective-four-20260826:pilot-source-enflame-prospectus</x:v>
      </x:c>
      <x:c r="C22" s="19" t="str">
        <x:v>pilot-source-enflame-prospectus</x:v>
      </x:c>
      <x:c r="D22" s="19" t="str"/>
      <x:c r="E22" s="19" t="n">
        <x:v>1</x:v>
      </x:c>
      <x:c r="F22" s="19" t="str"/>
    </x:row>
    <x:row r="23" ht="15" hidden="0" customHeight="1">
      <x:c r="A23" s="19" t="str">
        <x:v>objective-four-20260826:enflame:R07:risk-score</x:v>
      </x:c>
      <x:c r="B23" s="19" t="str">
        <x:v>objective-four-20260826:pilot-source-enflame-prospectus</x:v>
      </x:c>
      <x:c r="C23" s="19" t="str">
        <x:v>pilot-source-enflame-prospectus</x:v>
      </x:c>
      <x:c r="D23" s="19" t="str"/>
      <x:c r="E23" s="19" t="n">
        <x:v>1</x:v>
      </x:c>
      <x:c r="F23" s="19" t="str"/>
    </x:row>
    <x:row r="24" ht="15" hidden="0" customHeight="1">
      <x:c r="A24" s="19" t="str">
        <x:v>objective-four-20260826:enflame:R10:risk-score</x:v>
      </x:c>
      <x:c r="B24" s="19" t="str">
        <x:v>objective-four-20260826:pilot-source-enflame-prospectus</x:v>
      </x:c>
      <x:c r="C24" s="19" t="str">
        <x:v>pilot-source-enflame-prospectus</x:v>
      </x:c>
      <x:c r="D24" s="19" t="str"/>
      <x:c r="E24" s="19" t="n">
        <x:v>1</x:v>
      </x:c>
      <x:c r="F24" s="19" t="str"/>
    </x:row>
    <x:row r="25" ht="15" hidden="0" customHeight="1">
      <x:c r="A25" s="19" t="str">
        <x:v>objective-four-20260826:enflame:R12:risk-score</x:v>
      </x:c>
      <x:c r="B25" s="19" t="str">
        <x:v>objective-four-20260826:pilot-source-enflame-prospectus</x:v>
      </x:c>
      <x:c r="C25" s="19" t="str">
        <x:v>pilot-source-enflame-prospectus</x:v>
      </x:c>
      <x:c r="D25" s="19" t="str"/>
      <x:c r="E25" s="19" t="n">
        <x:v>1</x:v>
      </x:c>
      <x:c r="F25" s="19" t="str"/>
    </x:row>
    <x:row r="26" ht="15" hidden="0" customHeight="1">
      <x:c r="A26" s="19" t="str">
        <x:v>objective-four-20260826:enflame:R13:risk-score</x:v>
      </x:c>
      <x:c r="B26" s="19" t="str">
        <x:v>objective-four-20260826:pilot-source-enflame-prospectus</x:v>
      </x:c>
      <x:c r="C26" s="19" t="str">
        <x:v>pilot-source-enflame-prospectus</x:v>
      </x:c>
      <x:c r="D26" s="19" t="str"/>
      <x:c r="E26" s="19" t="n">
        <x:v>1</x:v>
      </x:c>
      <x:c r="F26" s="19" t="str"/>
    </x:row>
    <x:row r="27" ht="15" hidden="0" customHeight="1">
      <x:c r="A27" s="19" t="str">
        <x:v>objective-four-20260826:enflame:R14:risk-score</x:v>
      </x:c>
      <x:c r="B27" s="19" t="str">
        <x:v>objective-four-20260826:pilot-source-enflame-prospectus</x:v>
      </x:c>
      <x:c r="C27" s="19" t="str">
        <x:v>pilot-source-enflame-prospectus</x:v>
      </x:c>
      <x:c r="D27" s="19" t="str"/>
      <x:c r="E27" s="19" t="n">
        <x:v>1</x:v>
      </x:c>
      <x:c r="F27" s="19" t="str"/>
    </x:row>
    <x:row r="28" ht="15" hidden="0" customHeight="1">
      <x:c r="A28" s="19" t="str">
        <x:v>objective-four-20260826:enflame:R15:risk-score</x:v>
      </x:c>
      <x:c r="B28" s="19" t="str">
        <x:v>objective-four-20260826:pilot-source-enflame-prospectus</x:v>
      </x:c>
      <x:c r="C28" s="19" t="str">
        <x:v>pilot-source-enflame-prospectus</x:v>
      </x:c>
      <x:c r="D28" s="19" t="str"/>
      <x:c r="E28" s="19" t="n">
        <x:v>1</x:v>
      </x:c>
      <x:c r="F28" s="19" t="str"/>
    </x:row>
    <x:row r="29" ht="15" hidden="0" customHeight="1">
      <x:c r="A29" s="19" t="str">
        <x:v>objective-four-20260826:enflame:R16:risk-score</x:v>
      </x:c>
      <x:c r="B29" s="19" t="str">
        <x:v>objective-four-20260826:pilot-source-enflame-prospectus</x:v>
      </x:c>
      <x:c r="C29" s="19" t="str">
        <x:v>pilot-source-enflame-prospectus</x:v>
      </x:c>
      <x:c r="D29" s="19" t="str"/>
      <x:c r="E29" s="19" t="n">
        <x:v>1</x:v>
      </x:c>
      <x:c r="F29" s="19" t="str"/>
    </x:row>
    <x:row r="30" ht="15" hidden="0" customHeight="1">
      <x:c r="A30" s="19" t="str">
        <x:v>objective-four-20260826:huami-electronics:R05:risk-score</x:v>
      </x:c>
      <x:c r="B30" s="19" t="str">
        <x:v>objective-four-20260826:pilot-source-huami-2022</x:v>
      </x:c>
      <x:c r="C30" s="19" t="str">
        <x:v>pilot-source-huami-2022</x:v>
      </x:c>
      <x:c r="D30" s="19" t="str"/>
      <x:c r="E30" s="19" t="n">
        <x:v>1</x:v>
      </x:c>
      <x:c r="F30" s="19" t="str"/>
    </x:row>
    <x:row r="31" ht="15" hidden="0" customHeight="1">
      <x:c r="A31" s="19" t="str">
        <x:v>objective-four-20260826:huami-electronics:R06:risk-score</x:v>
      </x:c>
      <x:c r="B31" s="19" t="str">
        <x:v>objective-four-20260826:pilot-source-huami-2022</x:v>
      </x:c>
      <x:c r="C31" s="19" t="str">
        <x:v>pilot-source-huami-2022</x:v>
      </x:c>
      <x:c r="D31" s="19" t="str"/>
      <x:c r="E31" s="19" t="n">
        <x:v>1</x:v>
      </x:c>
      <x:c r="F31" s="19" t="str"/>
    </x:row>
    <x:row r="32" ht="15" hidden="0" customHeight="1">
      <x:c r="A32" s="19" t="str">
        <x:v>objective-four-20260826:huami-electronics:R07:risk-score</x:v>
      </x:c>
      <x:c r="B32" s="19" t="str">
        <x:v>objective-four-20260826:pilot-source-huami-2022</x:v>
      </x:c>
      <x:c r="C32" s="19" t="str">
        <x:v>pilot-source-huami-2022</x:v>
      </x:c>
      <x:c r="D32" s="19" t="str"/>
      <x:c r="E32" s="19" t="n">
        <x:v>1</x:v>
      </x:c>
      <x:c r="F32" s="19" t="str"/>
    </x:row>
    <x:row r="33" ht="15" hidden="0" customHeight="1">
      <x:c r="A33" s="19" t="str">
        <x:v>objective-four-20260826:huami-electronics:R10:risk-score</x:v>
      </x:c>
      <x:c r="B33" s="19" t="str">
        <x:v>objective-four-20260826:pilot-source-huami-2022</x:v>
      </x:c>
      <x:c r="C33" s="19" t="str">
        <x:v>pilot-source-huami-2022</x:v>
      </x:c>
      <x:c r="D33" s="19" t="str"/>
      <x:c r="E33" s="19" t="n">
        <x:v>1</x:v>
      </x:c>
      <x:c r="F33" s="19" t="str"/>
    </x:row>
    <x:row r="34" ht="15" hidden="0" customHeight="1">
      <x:c r="A34" s="19" t="str">
        <x:v>objective-four-20260826:huami-electronics:R12:risk-score</x:v>
      </x:c>
      <x:c r="B34" s="19" t="str">
        <x:v>objective-four-20260826:pilot-source-huami-2022</x:v>
      </x:c>
      <x:c r="C34" s="19" t="str">
        <x:v>pilot-source-huami-2022</x:v>
      </x:c>
      <x:c r="D34" s="19" t="str"/>
      <x:c r="E34" s="19" t="n">
        <x:v>1</x:v>
      </x:c>
      <x:c r="F34" s="19" t="str"/>
    </x:row>
    <x:row r="35" ht="15" hidden="0" customHeight="1">
      <x:c r="A35" s="19" t="str">
        <x:v>objective-four-20260826:huami-electronics:R13:risk-score</x:v>
      </x:c>
      <x:c r="B35" s="19" t="str">
        <x:v>objective-four-20260826:pilot-source-huami-2022</x:v>
      </x:c>
      <x:c r="C35" s="19" t="str">
        <x:v>pilot-source-huami-2022</x:v>
      </x:c>
      <x:c r="D35" s="19" t="str"/>
      <x:c r="E35" s="19" t="n">
        <x:v>1</x:v>
      </x:c>
      <x:c r="F35" s="19" t="str"/>
    </x:row>
    <x:row r="36" ht="15" hidden="0" customHeight="1">
      <x:c r="A36" s="19" t="str">
        <x:v>objective-four-20260826:huami-electronics:R14:risk-score</x:v>
      </x:c>
      <x:c r="B36" s="19" t="str">
        <x:v>objective-four-20260826:pilot-source-huami-2022</x:v>
      </x:c>
      <x:c r="C36" s="19" t="str">
        <x:v>pilot-source-huami-2022</x:v>
      </x:c>
      <x:c r="D36" s="19" t="str"/>
      <x:c r="E36" s="19" t="n">
        <x:v>1</x:v>
      </x:c>
      <x:c r="F36" s="19" t="str"/>
    </x:row>
    <x:row r="37" ht="15" hidden="0" customHeight="1">
      <x:c r="A37" s="19" t="str">
        <x:v>objective-four-20260826:huami-electronics:R16:risk-score</x:v>
      </x:c>
      <x:c r="B37" s="19" t="str">
        <x:v>objective-four-20260826:pilot-source-huami-2022</x:v>
      </x:c>
      <x:c r="C37" s="19" t="str">
        <x:v>pilot-source-huami-2022</x:v>
      </x:c>
      <x:c r="D37" s="19" t="str"/>
      <x:c r="E37" s="19" t="n">
        <x:v>1</x:v>
      </x:c>
      <x:c r="F37" s="19" t="str"/>
    </x:row>
    <x:row r="38" ht="15" hidden="0" customHeight="1">
      <x:c r="A38" s="19" t="str">
        <x:v>objective-four-20260826:hengrui-pharma:R05:risk-score</x:v>
      </x:c>
      <x:c r="B38" s="19" t="str">
        <x:v>objective-four-20260826:pilot-source-hengrui-2025</x:v>
      </x:c>
      <x:c r="C38" s="19" t="str">
        <x:v>pilot-source-hengrui-2025</x:v>
      </x:c>
      <x:c r="D38" s="19" t="str"/>
      <x:c r="E38" s="19" t="n">
        <x:v>1</x:v>
      </x:c>
      <x:c r="F38" s="19" t="str"/>
    </x:row>
    <x:row r="39" ht="15" hidden="0" customHeight="1">
      <x:c r="A39" s="19" t="str">
        <x:v>objective-four-20260826:hengrui-pharma:R06:risk-score</x:v>
      </x:c>
      <x:c r="B39" s="19" t="str">
        <x:v>objective-four-20260826:pilot-source-hengrui-2025</x:v>
      </x:c>
      <x:c r="C39" s="19" t="str">
        <x:v>pilot-source-hengrui-2025</x:v>
      </x:c>
      <x:c r="D39" s="19" t="str"/>
      <x:c r="E39" s="19" t="n">
        <x:v>1</x:v>
      </x:c>
      <x:c r="F39" s="19" t="str"/>
    </x:row>
    <x:row r="40" ht="15" hidden="0" customHeight="1">
      <x:c r="A40" s="19" t="str">
        <x:v>objective-four-20260826:hengrui-pharma:R07:risk-score</x:v>
      </x:c>
      <x:c r="B40" s="19" t="str">
        <x:v>objective-four-20260826:pilot-source-hengrui-2025</x:v>
      </x:c>
      <x:c r="C40" s="19" t="str">
        <x:v>pilot-source-hengrui-2025</x:v>
      </x:c>
      <x:c r="D40" s="19" t="str"/>
      <x:c r="E40" s="19" t="n">
        <x:v>1</x:v>
      </x:c>
      <x:c r="F40" s="19" t="str"/>
    </x:row>
    <x:row r="41" ht="15" hidden="0" customHeight="1">
      <x:c r="A41" s="19" t="str">
        <x:v>objective-four-20260826:hengrui-pharma:R10:risk-score</x:v>
      </x:c>
      <x:c r="B41" s="19" t="str">
        <x:v>objective-four-20260826:pilot-source-hengrui-2025</x:v>
      </x:c>
      <x:c r="C41" s="19" t="str">
        <x:v>pilot-source-hengrui-2025</x:v>
      </x:c>
      <x:c r="D41" s="19" t="str"/>
      <x:c r="E41" s="19" t="n">
        <x:v>1</x:v>
      </x:c>
      <x:c r="F41" s="19" t="str"/>
    </x:row>
    <x:row r="42" ht="15" hidden="0" customHeight="1">
      <x:c r="A42" s="19" t="str">
        <x:v>objective-four-20260826:hengrui-pharma:R12:risk-score</x:v>
      </x:c>
      <x:c r="B42" s="19" t="str">
        <x:v>objective-four-20260826:pilot-source-hengrui-2025</x:v>
      </x:c>
      <x:c r="C42" s="19" t="str">
        <x:v>pilot-source-hengrui-2025</x:v>
      </x:c>
      <x:c r="D42" s="19" t="str"/>
      <x:c r="E42" s="19" t="n">
        <x:v>1</x:v>
      </x:c>
      <x:c r="F42" s="19" t="str"/>
    </x:row>
    <x:row r="43" ht="15" hidden="0" customHeight="1">
      <x:c r="A43" s="19" t="str">
        <x:v>objective-four-20260826:hengrui-pharma:R13:risk-score</x:v>
      </x:c>
      <x:c r="B43" s="19" t="str">
        <x:v>objective-four-20260826:pilot-source-hengrui-2025</x:v>
      </x:c>
      <x:c r="C43" s="19" t="str">
        <x:v>pilot-source-hengrui-2025</x:v>
      </x:c>
      <x:c r="D43" s="19" t="str"/>
      <x:c r="E43" s="19" t="n">
        <x:v>1</x:v>
      </x:c>
      <x:c r="F43" s="19" t="str"/>
    </x:row>
    <x:row r="44" ht="15" hidden="0" customHeight="1">
      <x:c r="A44" s="19" t="str">
        <x:v>objective-four-20260826:hengrui-pharma:R14:risk-score</x:v>
      </x:c>
      <x:c r="B44" s="19" t="str">
        <x:v>objective-four-20260826:pilot-source-hengrui-2025</x:v>
      </x:c>
      <x:c r="C44" s="19" t="str">
        <x:v>pilot-source-hengrui-2025</x:v>
      </x:c>
      <x:c r="D44" s="19" t="str"/>
      <x:c r="E44" s="19" t="n">
        <x:v>1</x:v>
      </x:c>
      <x:c r="F44" s="19" t="str"/>
    </x:row>
    <x:row r="45" ht="15" hidden="0" customHeight="1">
      <x:c r="A45" s="19" t="str">
        <x:v>objective-four-20260826:hengrui-pharma:R16:risk-score</x:v>
      </x:c>
      <x:c r="B45" s="19" t="str">
        <x:v>objective-four-20260826:pilot-source-hengrui-2025</x:v>
      </x:c>
      <x:c r="C45" s="19" t="str">
        <x:v>pilot-source-hengrui-2025</x:v>
      </x:c>
      <x:c r="D45" s="19" t="str"/>
      <x:c r="E45" s="19" t="n">
        <x:v>1</x:v>
      </x:c>
      <x:c r="F45" s="19" t="str"/>
    </x:row>
    <x:row r="46" ht="15" hidden="0" customHeight="1">
      <x:c r="A46" s="19" t="str">
        <x:v>objective-four-20260826:hengrui-pharma:R18:risk-score</x:v>
      </x:c>
      <x:c r="B46" s="19" t="str">
        <x:v>objective-four-20260826:pilot-source-hengrui-2025</x:v>
      </x:c>
      <x:c r="C46" s="19" t="str">
        <x:v>pilot-source-hengrui-2025</x:v>
      </x:c>
      <x:c r="D46" s="19" t="str"/>
      <x:c r="E46" s="19" t="n">
        <x:v>1</x:v>
      </x:c>
      <x:c r="F46" s="19" t="str"/>
    </x:row>
    <x:row r="47" ht="15" hidden="0" customHeight="1">
      <x:c r="A47" s="19" t="str">
        <x:v>objective-four-20260826:cambricon:pdqi-lite</x:v>
      </x:c>
      <x:c r="B47" s="19" t="str">
        <x:v>objective-four-20260826:SRC-CAM-AR25</x:v>
      </x:c>
      <x:c r="C47" s="19" t="str">
        <x:v>SRC-CAM-AR25</x:v>
      </x:c>
      <x:c r="D47" s="19" t="str">
        <x:v>寒武纪</x:v>
      </x:c>
      <x:c r="E47" s="19" t="n">
        <x:v>1</x:v>
      </x:c>
      <x:c r="F47" s="19" t="str"/>
    </x:row>
    <x:row r="48" ht="15" hidden="0" customHeight="1">
      <x:c r="A48" s="19" t="str">
        <x:v>objective-four-20260826:cambricon:itag-lite</x:v>
      </x:c>
      <x:c r="B48" s="19" t="str">
        <x:v>objective-four-20260826:SRC-CAM-AR25</x:v>
      </x:c>
      <x:c r="C48" s="19" t="str">
        <x:v>SRC-CAM-AR25</x:v>
      </x:c>
      <x:c r="D48" s="19" t="str">
        <x:v>寒武纪</x:v>
      </x:c>
      <x:c r="E48" s="19" t="n">
        <x:v>1</x:v>
      </x:c>
      <x:c r="F48" s="19" t="str"/>
    </x:row>
    <x:row r="49" ht="15" hidden="0" customHeight="1">
      <x:c r="A49" s="19" t="str">
        <x:v>objective-four-20260826:cambricon:tone</x:v>
      </x:c>
      <x:c r="B49" s="19" t="str">
        <x:v>objective-four-20260826:SRC-CAM-RS25</x:v>
      </x:c>
      <x:c r="C49" s="19" t="str">
        <x:v>SRC-CAM-RS25</x:v>
      </x:c>
      <x:c r="D49" s="19" t="str">
        <x:v>寒武纪</x:v>
      </x:c>
      <x:c r="E49" s="19" t="n">
        <x:v>1</x:v>
      </x:c>
      <x:c r="F49" s="19" t="str"/>
    </x:row>
    <x:row r="50" ht="15" hidden="0" customHeight="1">
      <x:c r="A50" s="19" t="str">
        <x:v>objective-four-20260826:enflame:pdqi-lite</x:v>
      </x:c>
      <x:c r="B50" s="19" t="str">
        <x:v>objective-four-20260826:SRC-ENF-PRO</x:v>
      </x:c>
      <x:c r="C50" s="19" t="str">
        <x:v>SRC-ENF-PRO</x:v>
      </x:c>
      <x:c r="D50" s="19" t="str">
        <x:v>燧原科技</x:v>
      </x:c>
      <x:c r="E50" s="19" t="n">
        <x:v>1</x:v>
      </x:c>
      <x:c r="F50" s="19" t="str"/>
    </x:row>
    <x:row r="51" ht="15" hidden="0" customHeight="1">
      <x:c r="A51" s="19" t="str">
        <x:v>objective-four-20260826:enflame:itag-lite</x:v>
      </x:c>
      <x:c r="B51" s="19" t="str">
        <x:v>objective-four-20260826:SRC-ENF-PRO</x:v>
      </x:c>
      <x:c r="C51" s="19" t="str">
        <x:v>SRC-ENF-PRO</x:v>
      </x:c>
      <x:c r="D51" s="19" t="str">
        <x:v>燧原科技</x:v>
      </x:c>
      <x:c r="E51" s="19" t="n">
        <x:v>1</x:v>
      </x:c>
      <x:c r="F51" s="19" t="str"/>
    </x:row>
    <x:row r="52" ht="15" hidden="0" customHeight="1">
      <x:c r="A52" s="19" t="str">
        <x:v>objective-four-20260826:huami-electronics:pdqi-lite</x:v>
      </x:c>
      <x:c r="B52" s="19" t="str">
        <x:v>objective-four-20260826:SRC-HUA-AR22</x:v>
      </x:c>
      <x:c r="C52" s="19" t="str">
        <x:v>SRC-HUA-AR22</x:v>
      </x:c>
      <x:c r="D52" s="19" t="str">
        <x:v>华微电子</x:v>
      </x:c>
      <x:c r="E52" s="19" t="n">
        <x:v>1</x:v>
      </x:c>
      <x:c r="F52" s="19" t="str"/>
    </x:row>
    <x:row r="53" ht="15" hidden="0" customHeight="1">
      <x:c r="A53" s="19" t="str">
        <x:v>objective-four-20260826:huami-electronics:itag-lite</x:v>
      </x:c>
      <x:c r="B53" s="19" t="str">
        <x:v>objective-four-20260826:SRC-HUA-AR22</x:v>
      </x:c>
      <x:c r="C53" s="19" t="str">
        <x:v>SRC-HUA-AR22</x:v>
      </x:c>
      <x:c r="D53" s="19" t="str">
        <x:v>华微电子</x:v>
      </x:c>
      <x:c r="E53" s="19" t="n">
        <x:v>1</x:v>
      </x:c>
      <x:c r="F53" s="19" t="str"/>
    </x:row>
    <x:row r="54" ht="15" hidden="0" customHeight="1">
      <x:c r="A54" s="19" t="str">
        <x:v>objective-four-20260826:hengrui-pharma:pdqi-lite</x:v>
      </x:c>
      <x:c r="B54" s="19" t="str">
        <x:v>objective-four-20260826:SRC-HR-AR25</x:v>
      </x:c>
      <x:c r="C54" s="19" t="str">
        <x:v>SRC-HR-AR25</x:v>
      </x:c>
      <x:c r="D54" s="19" t="str">
        <x:v>恒瑞医药</x:v>
      </x:c>
      <x:c r="E54" s="19" t="n">
        <x:v>1</x:v>
      </x:c>
      <x:c r="F54" s="19" t="str"/>
    </x:row>
    <x:row r="55" ht="15" hidden="0" customHeight="1">
      <x:c r="A55" s="19" t="str">
        <x:v>objective-four-20260826:hengrui-pharma:itag-lite</x:v>
      </x:c>
      <x:c r="B55" s="19" t="str">
        <x:v>objective-four-20260826:SRC-HR-AR25</x:v>
      </x:c>
      <x:c r="C55" s="19" t="str">
        <x:v>SRC-HR-AR25</x:v>
      </x:c>
      <x:c r="D55" s="19" t="str">
        <x:v>恒瑞医药</x:v>
      </x:c>
      <x:c r="E55" s="19" t="n">
        <x:v>1</x:v>
      </x:c>
      <x:c r="F55" s="19" t="str"/>
    </x:row>
    <x:row r="56" ht="15" hidden="0" customHeight="1">
      <x:c r="A56" s="19" t="str">
        <x:v>objective-four-20260826:hengrui-pharma:tone</x:v>
      </x:c>
      <x:c r="B56" s="19" t="str">
        <x:v>objective-four-20260826:SRC-HR-RS25</x:v>
      </x:c>
      <x:c r="C56" s="19" t="str">
        <x:v>SRC-HR-RS25</x:v>
      </x:c>
      <x:c r="D56" s="19" t="str">
        <x:v>恒瑞医药</x:v>
      </x:c>
      <x:c r="E56" s="19" t="n">
        <x:v>1</x:v>
      </x:c>
      <x:c r="F56" s="19" t="str"/>
    </x:row>
    <x:row r="57" ht="15" hidden="0" customHeight="1">
      <x:c r="A57" s="19" t="str">
        <x:v>r01-r04-audit-20260826:cambricon-r01-ITAG_self_only</x:v>
      </x:c>
      <x:c r="B57" s="19" t="str">
        <x:v>r01-r04-audit-20260826:cam-2025a</x:v>
      </x:c>
      <x:c r="C57" s="19" t="str">
        <x:v>cam-2025a</x:v>
      </x:c>
      <x:c r="D57" s="19" t="str">
        <x:v>寒武纪</x:v>
      </x:c>
      <x:c r="E57" s="19" t="n">
        <x:v>1</x:v>
      </x:c>
      <x:c r="F57" s="19" t="str"/>
    </x:row>
    <x:row r="58" ht="15" hidden="0" customHeight="1">
      <x:c r="A58" s="19" t="str">
        <x:v>r01-r04-audit-20260826:zuojiang-r01-ITAG_self_only</x:v>
      </x:c>
      <x:c r="B58" s="19" t="str">
        <x:v>r01-r04-audit-20260826:left-2022a</x:v>
      </x:c>
      <x:c r="C58" s="19" t="str">
        <x:v>left-2022a</x:v>
      </x:c>
      <x:c r="D58" s="19" t="str">
        <x:v>左江科技</x:v>
      </x:c>
      <x:c r="E58" s="19" t="n">
        <x:v>1</x:v>
      </x:c>
      <x:c r="F58" s="19" t="str"/>
    </x:row>
    <x:row r="59" ht="15" hidden="0" customHeight="1">
      <x:c r="A59" s="19" t="str">
        <x:v>r01-r04-audit-20260826:bailitannheng-r01-ITAG_self_only</x:v>
      </x:c>
      <x:c r="B59" s="19" t="str">
        <x:v>r01-r04-audit-20260826:baili-2025a</x:v>
      </x:c>
      <x:c r="C59" s="19" t="str">
        <x:v>baili-2025a</x:v>
      </x:c>
      <x:c r="D59" s="19" t="str">
        <x:v>百利天恒</x:v>
      </x:c>
      <x:c r="E59" s="19" t="n">
        <x:v>1</x:v>
      </x:c>
      <x:c r="F59" s="19" t="str"/>
    </x:row>
    <x:row r="60" ht="15" hidden="0" customHeight="1">
      <x:c r="A60" s="19" t="str">
        <x:v>r01-r04-audit-20260826:cambricon-r01-DTQ_fundamental_gap_proxy</x:v>
      </x:c>
      <x:c r="B60" s="19" t="str">
        <x:v>r01-r04-audit-20260826:media-cambricon-7d5554ae93c9</x:v>
      </x:c>
      <x:c r="C60" s="19" t="str">
        <x:v>media-cambricon-7d5554ae93c9</x:v>
      </x:c>
      <x:c r="D60" s="19" t="str">
        <x:v>寒武纪</x:v>
      </x:c>
      <x:c r="E60" s="19" t="n">
        <x:v>1</x:v>
      </x:c>
      <x:c r="F60" s="19" t="str"/>
    </x:row>
    <x:row r="61" ht="15" hidden="0" customHeight="1">
      <x:c r="A61" s="19" t="str">
        <x:v>r01-r04-audit-20260826:cambricon-r01-DTQ_fundamental_gap_proxy</x:v>
      </x:c>
      <x:c r="B61" s="19" t="str">
        <x:v>r01-r04-audit-20260826:media-cambricon-d65a9bcc4d0a</x:v>
      </x:c>
      <x:c r="C61" s="19" t="str">
        <x:v>media-cambricon-d65a9bcc4d0a</x:v>
      </x:c>
      <x:c r="D61" s="19" t="str">
        <x:v>寒武纪</x:v>
      </x:c>
      <x:c r="E61" s="19" t="n">
        <x:v>2</x:v>
      </x:c>
      <x:c r="F61" s="19" t="str">
        <x:v>重复引用已计数，不重复建边</x:v>
      </x:c>
    </x:row>
    <x:row r="62" ht="15" hidden="0" customHeight="1">
      <x:c r="A62" s="19" t="str">
        <x:v>r01-r04-audit-20260826:cambricon-r01-DTQ_fundamental_gap_proxy</x:v>
      </x:c>
      <x:c r="B62" s="19" t="str">
        <x:v>r01-r04-audit-20260826:media-cambricon-d6ecac060889</x:v>
      </x:c>
      <x:c r="C62" s="19" t="str">
        <x:v>media-cambricon-d6ecac060889</x:v>
      </x:c>
      <x:c r="D62" s="19" t="str">
        <x:v>寒武纪</x:v>
      </x:c>
      <x:c r="E62" s="19" t="n">
        <x:v>1</x:v>
      </x:c>
      <x:c r="F62" s="19" t="str"/>
    </x:row>
    <x:row r="63" ht="15" hidden="0" customHeight="1">
      <x:c r="A63" s="19" t="str">
        <x:v>r01-r04-audit-20260826:cambricon-r01-DTQ_fundamental_gap_proxy</x:v>
      </x:c>
      <x:c r="B63" s="19" t="str">
        <x:v>r01-r04-audit-20260826:media-cambricon-af44268d9c7f</x:v>
      </x:c>
      <x:c r="C63" s="19" t="str">
        <x:v>media-cambricon-af44268d9c7f</x:v>
      </x:c>
      <x:c r="D63" s="19" t="str">
        <x:v>寒武纪</x:v>
      </x:c>
      <x:c r="E63" s="19" t="n">
        <x:v>3</x:v>
      </x:c>
      <x:c r="F63" s="19" t="str">
        <x:v>重复引用已计数，不重复建边</x:v>
      </x:c>
    </x:row>
    <x:row r="64" ht="15" hidden="0" customHeight="1">
      <x:c r="A64" s="19" t="str">
        <x:v>r01-r04-audit-20260826:cambricon-r01-DTQ_fundamental_gap_proxy</x:v>
      </x:c>
      <x:c r="B64" s="19" t="str">
        <x:v>r01-r04-audit-20260826:media-cambricon-81ceb5452596</x:v>
      </x:c>
      <x:c r="C64" s="19" t="str">
        <x:v>media-cambricon-81ceb5452596</x:v>
      </x:c>
      <x:c r="D64" s="19" t="str">
        <x:v>寒武纪</x:v>
      </x:c>
      <x:c r="E64" s="19" t="n">
        <x:v>1</x:v>
      </x:c>
      <x:c r="F64" s="19" t="str"/>
    </x:row>
    <x:row r="65" ht="15" hidden="0" customHeight="1">
      <x:c r="A65" s="19" t="str">
        <x:v>r01-r04-audit-20260826:cambricon-r01-DTQ_fundamental_gap_proxy</x:v>
      </x:c>
      <x:c r="B65" s="19" t="str">
        <x:v>r01-r04-audit-20260826:media-cambricon-ecfa090a985d</x:v>
      </x:c>
      <x:c r="C65" s="19" t="str">
        <x:v>media-cambricon-ecfa090a985d</x:v>
      </x:c>
      <x:c r="D65" s="19" t="str">
        <x:v>寒武纪</x:v>
      </x:c>
      <x:c r="E65" s="19" t="n">
        <x:v>1</x:v>
      </x:c>
      <x:c r="F65" s="19" t="str"/>
    </x:row>
    <x:row r="66" ht="15" hidden="0" customHeight="1">
      <x:c r="A66" s="19" t="str">
        <x:v>r01-r04-audit-20260826:cambricon-r01-DTQ_fundamental_gap_proxy</x:v>
      </x:c>
      <x:c r="B66" s="19" t="str">
        <x:v>r01-r04-audit-20260826:media-cambricon-8bc149f0481b</x:v>
      </x:c>
      <x:c r="C66" s="19" t="str">
        <x:v>media-cambricon-8bc149f0481b</x:v>
      </x:c>
      <x:c r="D66" s="19" t="str">
        <x:v>寒武纪</x:v>
      </x:c>
      <x:c r="E66" s="19" t="n">
        <x:v>2</x:v>
      </x:c>
      <x:c r="F66" s="19" t="str">
        <x:v>重复引用已计数，不重复建边</x:v>
      </x:c>
    </x:row>
    <x:row r="67" ht="15" hidden="0" customHeight="1">
      <x:c r="A67" s="19" t="str">
        <x:v>r01-r04-audit-20260826:cambricon-r01-DTQ_fundamental_gap_proxy</x:v>
      </x:c>
      <x:c r="B67" s="19" t="str">
        <x:v>r01-r04-audit-20260826:roadshow-34929</x:v>
      </x:c>
      <x:c r="C67" s="19" t="str">
        <x:v>roadshow-34929</x:v>
      </x:c>
      <x:c r="D67" s="19" t="str">
        <x:v>寒武纪</x:v>
      </x:c>
      <x:c r="E67" s="19" t="n">
        <x:v>1</x:v>
      </x:c>
      <x:c r="F67" s="19" t="str"/>
    </x:row>
    <x:row r="68" ht="15" hidden="0" customHeight="1">
      <x:c r="A68" s="19" t="str">
        <x:v>r01-r04-audit-20260826:cambricon-r01-DTQ_fundamental_gap_proxy</x:v>
      </x:c>
      <x:c r="B68" s="19" t="str">
        <x:v>r01-r04-audit-20260826:roadshow-38704</x:v>
      </x:c>
      <x:c r="C68" s="19" t="str">
        <x:v>roadshow-38704</x:v>
      </x:c>
      <x:c r="D68" s="19" t="str">
        <x:v>寒武纪</x:v>
      </x:c>
      <x:c r="E68" s="19" t="n">
        <x:v>1</x:v>
      </x:c>
      <x:c r="F68" s="19" t="str"/>
    </x:row>
    <x:row r="69" ht="15" hidden="0" customHeight="1">
      <x:c r="A69" s="19" t="str">
        <x:v>r01-r04-audit-20260826:cambricon-r01-DTQ_fundamental_gap_proxy</x:v>
      </x:c>
      <x:c r="B69" s="19" t="str">
        <x:v>r01-r04-audit-20260826:roadshow-40262</x:v>
      </x:c>
      <x:c r="C69" s="19" t="str">
        <x:v>roadshow-40262</x:v>
      </x:c>
      <x:c r="D69" s="19" t="str">
        <x:v>寒武纪</x:v>
      </x:c>
      <x:c r="E69" s="19" t="n">
        <x:v>1</x:v>
      </x:c>
      <x:c r="F69" s="19" t="str"/>
    </x:row>
    <x:row r="70" ht="15" hidden="0" customHeight="1">
      <x:c r="A70" s="19" t="str">
        <x:v>r01-r04-audit-20260826:bailitannheng-r01-DTQ_fundamental_gap_proxy</x:v>
      </x:c>
      <x:c r="B70" s="19" t="str">
        <x:v>r01-r04-audit-20260826:media-bailitannheng-196b1e750bf8</x:v>
      </x:c>
      <x:c r="C70" s="19" t="str">
        <x:v>media-bailitannheng-196b1e750bf8</x:v>
      </x:c>
      <x:c r="D70" s="19" t="str">
        <x:v>百利天恒</x:v>
      </x:c>
      <x:c r="E70" s="19" t="n">
        <x:v>1</x:v>
      </x:c>
      <x:c r="F70" s="19" t="str"/>
    </x:row>
    <x:row r="71" ht="15" hidden="0" customHeight="1">
      <x:c r="A71" s="19" t="str">
        <x:v>r01-r04-audit-20260826:bailitannheng-r01-DTQ_fundamental_gap_proxy</x:v>
      </x:c>
      <x:c r="B71" s="19" t="str">
        <x:v>r01-r04-audit-20260826:media-bailitannheng-7dfd912b802e</x:v>
      </x:c>
      <x:c r="C71" s="19" t="str">
        <x:v>media-bailitannheng-7dfd912b802e</x:v>
      </x:c>
      <x:c r="D71" s="19" t="str">
        <x:v>百利天恒</x:v>
      </x:c>
      <x:c r="E71" s="19" t="n">
        <x:v>1</x:v>
      </x:c>
      <x:c r="F71" s="19" t="str"/>
    </x:row>
    <x:row r="72" ht="15" hidden="0" customHeight="1">
      <x:c r="A72" s="19" t="str">
        <x:v>r01-r04-audit-20260826:bailitannheng-r01-DTQ_fundamental_gap_proxy</x:v>
      </x:c>
      <x:c r="B72" s="19" t="str">
        <x:v>r01-r04-audit-20260826:media-bailitannheng-78368d9d5d1d</x:v>
      </x:c>
      <x:c r="C72" s="19" t="str">
        <x:v>media-bailitannheng-78368d9d5d1d</x:v>
      </x:c>
      <x:c r="D72" s="19" t="str">
        <x:v>百利天恒</x:v>
      </x:c>
      <x:c r="E72" s="19" t="n">
        <x:v>1</x:v>
      </x:c>
      <x:c r="F72" s="19" t="str"/>
    </x:row>
    <x:row r="73" ht="15" hidden="0" customHeight="1">
      <x:c r="A73" s="19" t="str">
        <x:v>r01-r04-audit-20260826:bailitannheng-r01-DTQ_fundamental_gap_proxy</x:v>
      </x:c>
      <x:c r="B73" s="19" t="str">
        <x:v>r01-r04-audit-20260826:media-bailitannheng-7f4be09f219d</x:v>
      </x:c>
      <x:c r="C73" s="19" t="str">
        <x:v>media-bailitannheng-7f4be09f219d</x:v>
      </x:c>
      <x:c r="D73" s="19" t="str">
        <x:v>百利天恒</x:v>
      </x:c>
      <x:c r="E73" s="19" t="n">
        <x:v>1</x:v>
      </x:c>
      <x:c r="F73" s="19" t="str"/>
    </x:row>
    <x:row r="74" ht="15" hidden="0" customHeight="1">
      <x:c r="A74" s="19" t="str">
        <x:v>r01-r04-audit-20260826:bailitannheng-r01-DTQ_fundamental_gap_proxy</x:v>
      </x:c>
      <x:c r="B74" s="19" t="str">
        <x:v>r01-r04-audit-20260826:media-bailitannheng-ac1786a72038</x:v>
      </x:c>
      <x:c r="C74" s="19" t="str">
        <x:v>media-bailitannheng-ac1786a72038</x:v>
      </x:c>
      <x:c r="D74" s="19" t="str">
        <x:v>百利天恒</x:v>
      </x:c>
      <x:c r="E74" s="19" t="n">
        <x:v>1</x:v>
      </x:c>
      <x:c r="F74" s="19" t="str"/>
    </x:row>
    <x:row r="75" ht="15" hidden="0" customHeight="1">
      <x:c r="A75" s="19" t="str">
        <x:v>r01-r04-audit-20260826:bailitannheng-r01-DTQ_fundamental_gap_proxy</x:v>
      </x:c>
      <x:c r="B75" s="19" t="str">
        <x:v>r01-r04-audit-20260826:media-bailitannheng-4cfcd2fb3b7b</x:v>
      </x:c>
      <x:c r="C75" s="19" t="str">
        <x:v>media-bailitannheng-4cfcd2fb3b7b</x:v>
      </x:c>
      <x:c r="D75" s="19" t="str">
        <x:v>百利天恒</x:v>
      </x:c>
      <x:c r="E75" s="19" t="n">
        <x:v>1</x:v>
      </x:c>
      <x:c r="F75" s="19" t="str"/>
    </x:row>
    <x:row r="76" ht="15" hidden="0" customHeight="1">
      <x:c r="A76" s="19" t="str">
        <x:v>r01-r04-audit-20260826:bailitannheng-r01-DTQ_fundamental_gap_proxy</x:v>
      </x:c>
      <x:c r="B76" s="19" t="str">
        <x:v>r01-r04-audit-20260826:roadshow-37197</x:v>
      </x:c>
      <x:c r="C76" s="19" t="str">
        <x:v>roadshow-37197</x:v>
      </x:c>
      <x:c r="D76" s="19" t="str">
        <x:v>百利天恒</x:v>
      </x:c>
      <x:c r="E76" s="19" t="n">
        <x:v>1</x:v>
      </x:c>
      <x:c r="F76" s="19" t="str"/>
    </x:row>
    <x:row r="77" ht="15" hidden="0" customHeight="1">
      <x:c r="A77" s="19" t="str">
        <x:v>r01-r04-audit-20260826:cambricon-r02-self_third_party_exaggeration_density_gap</x:v>
      </x:c>
      <x:c r="B77" s="19" t="str">
        <x:v>r01-r04-audit-20260826:cam-2025q3</x:v>
      </x:c>
      <x:c r="C77" s="19" t="str">
        <x:v>cam-2025q3</x:v>
      </x:c>
      <x:c r="D77" s="19" t="str">
        <x:v>寒武纪</x:v>
      </x:c>
      <x:c r="E77" s="19" t="n">
        <x:v>1</x:v>
      </x:c>
      <x:c r="F77" s="19" t="str"/>
    </x:row>
    <x:row r="78" ht="15" hidden="0" customHeight="1">
      <x:c r="A78" s="19" t="str">
        <x:v>r01-r04-audit-20260826:cambricon-r02-self_third_party_exaggeration_density_gap</x:v>
      </x:c>
      <x:c r="B78" s="19" t="str">
        <x:v>r01-r04-audit-20260826:cam-2025a</x:v>
      </x:c>
      <x:c r="C78" s="19" t="str">
        <x:v>cam-2025a</x:v>
      </x:c>
      <x:c r="D78" s="19" t="str">
        <x:v>寒武纪</x:v>
      </x:c>
      <x:c r="E78" s="19" t="n">
        <x:v>1</x:v>
      </x:c>
      <x:c r="F78" s="19" t="str"/>
    </x:row>
    <x:row r="79" ht="15" hidden="0" customHeight="1">
      <x:c r="A79" s="19" t="str">
        <x:v>r01-r04-audit-20260826:cambricon-r02-self_third_party_exaggeration_density_gap</x:v>
      </x:c>
      <x:c r="B79" s="19" t="str">
        <x:v>r01-r04-audit-20260826:cam-2026q1</x:v>
      </x:c>
      <x:c r="C79" s="19" t="str">
        <x:v>cam-2026q1</x:v>
      </x:c>
      <x:c r="D79" s="19" t="str">
        <x:v>寒武纪</x:v>
      </x:c>
      <x:c r="E79" s="19" t="n">
        <x:v>1</x:v>
      </x:c>
      <x:c r="F79" s="19" t="str"/>
    </x:row>
    <x:row r="80" ht="15" hidden="0" customHeight="1">
      <x:c r="A80" s="19" t="str">
        <x:v>r01-r04-audit-20260826:cambricon-r02-self_third_party_exaggeration_density_gap</x:v>
      </x:c>
      <x:c r="B80" s="19" t="str">
        <x:v>r01-r04-audit-20260826:cam-2026h1</x:v>
      </x:c>
      <x:c r="C80" s="19" t="str">
        <x:v>cam-2026h1</x:v>
      </x:c>
      <x:c r="D80" s="19" t="str">
        <x:v>寒武纪</x:v>
      </x:c>
      <x:c r="E80" s="19" t="n">
        <x:v>1</x:v>
      </x:c>
      <x:c r="F80" s="19" t="str"/>
    </x:row>
    <x:row r="81" ht="15" hidden="0" customHeight="1">
      <x:c r="A81" s="19" t="str">
        <x:v>r01-r04-audit-20260826:cambricon-r02-self_third_party_exaggeration_density_gap</x:v>
      </x:c>
      <x:c r="B81" s="19" t="str">
        <x:v>r01-r04-audit-20260826:cam-risk-warning-20260701</x:v>
      </x:c>
      <x:c r="C81" s="19" t="str">
        <x:v>cam-risk-warning-20260701</x:v>
      </x:c>
      <x:c r="D81" s="19" t="str">
        <x:v>寒武纪</x:v>
      </x:c>
      <x:c r="E81" s="19" t="n">
        <x:v>1</x:v>
      </x:c>
      <x:c r="F81" s="19" t="str"/>
    </x:row>
    <x:row r="82" ht="15" hidden="0" customHeight="1">
      <x:c r="A82" s="19" t="str">
        <x:v>r01-r04-audit-20260826:cambricon-r02-self_third_party_exaggeration_density_gap</x:v>
      </x:c>
      <x:c r="B82" s="19" t="str">
        <x:v>r01-r04-audit-20260826:media-cambricon-7d5554ae93c9</x:v>
      </x:c>
      <x:c r="C82" s="19" t="str">
        <x:v>media-cambricon-7d5554ae93c9</x:v>
      </x:c>
      <x:c r="D82" s="19" t="str">
        <x:v>寒武纪</x:v>
      </x:c>
      <x:c r="E82" s="19" t="n">
        <x:v>1</x:v>
      </x:c>
      <x:c r="F82" s="19" t="str"/>
    </x:row>
    <x:row r="83" ht="15" hidden="0" customHeight="1">
      <x:c r="A83" s="19" t="str">
        <x:v>r01-r04-audit-20260826:cambricon-r02-self_third_party_exaggeration_density_gap</x:v>
      </x:c>
      <x:c r="B83" s="19" t="str">
        <x:v>r01-r04-audit-20260826:media-cambricon-d65a9bcc4d0a</x:v>
      </x:c>
      <x:c r="C83" s="19" t="str">
        <x:v>media-cambricon-d65a9bcc4d0a</x:v>
      </x:c>
      <x:c r="D83" s="19" t="str">
        <x:v>寒武纪</x:v>
      </x:c>
      <x:c r="E83" s="19" t="n">
        <x:v>2</x:v>
      </x:c>
      <x:c r="F83" s="19" t="str">
        <x:v>重复引用已计数，不重复建边</x:v>
      </x:c>
    </x:row>
    <x:row r="84" ht="15" hidden="0" customHeight="1">
      <x:c r="A84" s="19" t="str">
        <x:v>r01-r04-audit-20260826:cambricon-r02-self_third_party_exaggeration_density_gap</x:v>
      </x:c>
      <x:c r="B84" s="19" t="str">
        <x:v>r01-r04-audit-20260826:media-cambricon-d6ecac060889</x:v>
      </x:c>
      <x:c r="C84" s="19" t="str">
        <x:v>media-cambricon-d6ecac060889</x:v>
      </x:c>
      <x:c r="D84" s="19" t="str">
        <x:v>寒武纪</x:v>
      </x:c>
      <x:c r="E84" s="19" t="n">
        <x:v>1</x:v>
      </x:c>
      <x:c r="F84" s="19" t="str"/>
    </x:row>
    <x:row r="85" ht="15" hidden="0" customHeight="1">
      <x:c r="A85" s="19" t="str">
        <x:v>r01-r04-audit-20260826:cambricon-r02-self_third_party_exaggeration_density_gap</x:v>
      </x:c>
      <x:c r="B85" s="19" t="str">
        <x:v>r01-r04-audit-20260826:media-cambricon-af44268d9c7f</x:v>
      </x:c>
      <x:c r="C85" s="19" t="str">
        <x:v>media-cambricon-af44268d9c7f</x:v>
      </x:c>
      <x:c r="D85" s="19" t="str">
        <x:v>寒武纪</x:v>
      </x:c>
      <x:c r="E85" s="19" t="n">
        <x:v>3</x:v>
      </x:c>
      <x:c r="F85" s="19" t="str">
        <x:v>重复引用已计数，不重复建边</x:v>
      </x:c>
    </x:row>
    <x:row r="86" ht="15" hidden="0" customHeight="1">
      <x:c r="A86" s="19" t="str">
        <x:v>r01-r04-audit-20260826:cambricon-r02-self_third_party_exaggeration_density_gap</x:v>
      </x:c>
      <x:c r="B86" s="19" t="str">
        <x:v>r01-r04-audit-20260826:media-cambricon-81ceb5452596</x:v>
      </x:c>
      <x:c r="C86" s="19" t="str">
        <x:v>media-cambricon-81ceb5452596</x:v>
      </x:c>
      <x:c r="D86" s="19" t="str">
        <x:v>寒武纪</x:v>
      </x:c>
      <x:c r="E86" s="19" t="n">
        <x:v>1</x:v>
      </x:c>
      <x:c r="F86" s="19" t="str"/>
    </x:row>
    <x:row r="87" ht="15" hidden="0" customHeight="1">
      <x:c r="A87" s="19" t="str">
        <x:v>r01-r04-audit-20260826:cambricon-r02-self_third_party_exaggeration_density_gap</x:v>
      </x:c>
      <x:c r="B87" s="19" t="str">
        <x:v>r01-r04-audit-20260826:media-cambricon-ecfa090a985d</x:v>
      </x:c>
      <x:c r="C87" s="19" t="str">
        <x:v>media-cambricon-ecfa090a985d</x:v>
      </x:c>
      <x:c r="D87" s="19" t="str">
        <x:v>寒武纪</x:v>
      </x:c>
      <x:c r="E87" s="19" t="n">
        <x:v>1</x:v>
      </x:c>
      <x:c r="F87" s="19" t="str"/>
    </x:row>
    <x:row r="88" ht="15" hidden="0" customHeight="1">
      <x:c r="A88" s="19" t="str">
        <x:v>r01-r04-audit-20260826:cambricon-r02-self_third_party_exaggeration_density_gap</x:v>
      </x:c>
      <x:c r="B88" s="19" t="str">
        <x:v>r01-r04-audit-20260826:media-cambricon-8bc149f0481b</x:v>
      </x:c>
      <x:c r="C88" s="19" t="str">
        <x:v>media-cambricon-8bc149f0481b</x:v>
      </x:c>
      <x:c r="D88" s="19" t="str">
        <x:v>寒武纪</x:v>
      </x:c>
      <x:c r="E88" s="19" t="n">
        <x:v>2</x:v>
      </x:c>
      <x:c r="F88" s="19" t="str">
        <x:v>重复引用已计数，不重复建边</x:v>
      </x:c>
    </x:row>
    <x:row r="89" ht="15" hidden="0" customHeight="1">
      <x:c r="A89" s="19" t="str">
        <x:v>r01-r04-audit-20260826:zuojiang-r02-self_third_party_exaggeration_density_gap</x:v>
      </x:c>
      <x:c r="B89" s="19" t="str">
        <x:v>r01-r04-audit-20260826:left-2021a</x:v>
      </x:c>
      <x:c r="C89" s="19" t="str">
        <x:v>left-2021a</x:v>
      </x:c>
      <x:c r="D89" s="19" t="str">
        <x:v>左江科技</x:v>
      </x:c>
      <x:c r="E89" s="19" t="n">
        <x:v>1</x:v>
      </x:c>
      <x:c r="F89" s="19" t="str"/>
    </x:row>
    <x:row r="90" ht="15" hidden="0" customHeight="1">
      <x:c r="A90" s="19" t="str">
        <x:v>r01-r04-audit-20260826:zuojiang-r02-self_third_party_exaggeration_density_gap</x:v>
      </x:c>
      <x:c r="B90" s="19" t="str">
        <x:v>r01-r04-audit-20260826:left-2022a</x:v>
      </x:c>
      <x:c r="C90" s="19" t="str">
        <x:v>left-2022a</x:v>
      </x:c>
      <x:c r="D90" s="19" t="str">
        <x:v>左江科技</x:v>
      </x:c>
      <x:c r="E90" s="19" t="n">
        <x:v>1</x:v>
      </x:c>
      <x:c r="F90" s="19" t="str"/>
    </x:row>
    <x:row r="91" ht="15" hidden="0" customHeight="1">
      <x:c r="A91" s="19" t="str">
        <x:v>r01-r04-audit-20260826:zuojiang-r02-self_third_party_exaggeration_density_gap</x:v>
      </x:c>
      <x:c r="B91" s="19" t="str">
        <x:v>r01-r04-audit-20260826:left-2023h1</x:v>
      </x:c>
      <x:c r="C91" s="19" t="str">
        <x:v>left-2023h1</x:v>
      </x:c>
      <x:c r="D91" s="19" t="str">
        <x:v>左江科技</x:v>
      </x:c>
      <x:c r="E91" s="19" t="n">
        <x:v>1</x:v>
      </x:c>
      <x:c r="F91" s="19" t="str"/>
    </x:row>
    <x:row r="92" ht="15" hidden="0" customHeight="1">
      <x:c r="A92" s="19" t="str">
        <x:v>r01-r04-audit-20260826:zuojiang-r02-self_third_party_exaggeration_density_gap</x:v>
      </x:c>
      <x:c r="B92" s="19" t="str">
        <x:v>r01-r04-audit-20260826:left-2023q3</x:v>
      </x:c>
      <x:c r="C92" s="19" t="str">
        <x:v>left-2023q3</x:v>
      </x:c>
      <x:c r="D92" s="19" t="str">
        <x:v>左江科技</x:v>
      </x:c>
      <x:c r="E92" s="19" t="n">
        <x:v>1</x:v>
      </x:c>
      <x:c r="F92" s="19" t="str"/>
    </x:row>
    <x:row r="93" ht="15" hidden="0" customHeight="1">
      <x:c r="A93" s="19" t="str">
        <x:v>r01-r04-audit-20260826:zuojiang-r02-self_third_party_exaggeration_density_gap</x:v>
      </x:c>
      <x:c r="B93" s="19" t="str">
        <x:v>r01-r04-audit-20260826:left-delay-20231130</x:v>
      </x:c>
      <x:c r="C93" s="19" t="str">
        <x:v>left-delay-20231130</x:v>
      </x:c>
      <x:c r="D93" s="19" t="str">
        <x:v>左江科技</x:v>
      </x:c>
      <x:c r="E93" s="19" t="n">
        <x:v>1</x:v>
      </x:c>
      <x:c r="F93" s="19" t="str"/>
    </x:row>
    <x:row r="94" ht="15" hidden="0" customHeight="1">
      <x:c r="A94" s="19" t="str">
        <x:v>r01-r04-audit-20260826:zuojiang-r02-self_third_party_exaggeration_density_gap</x:v>
      </x:c>
      <x:c r="B94" s="19" t="str">
        <x:v>r01-r04-audit-20260826:left-audit-2022</x:v>
      </x:c>
      <x:c r="C94" s="19" t="str">
        <x:v>left-audit-2022</x:v>
      </x:c>
      <x:c r="D94" s="19" t="str">
        <x:v>左江科技</x:v>
      </x:c>
      <x:c r="E94" s="19" t="n">
        <x:v>1</x:v>
      </x:c>
      <x:c r="F94" s="19" t="str"/>
    </x:row>
    <x:row r="95" ht="15" hidden="0" customHeight="1">
      <x:c r="A95" s="19" t="str">
        <x:v>r01-r04-audit-20260826:zuojiang-r02-self_third_party_exaggeration_density_gap</x:v>
      </x:c>
      <x:c r="B95" s="19" t="str">
        <x:v>r01-r04-audit-20260826:left-inquiry-1</x:v>
      </x:c>
      <x:c r="C95" s="19" t="str">
        <x:v>left-inquiry-1</x:v>
      </x:c>
      <x:c r="D95" s="19" t="str">
        <x:v>左江科技</x:v>
      </x:c>
      <x:c r="E95" s="19" t="n">
        <x:v>1</x:v>
      </x:c>
      <x:c r="F95" s="19" t="str"/>
    </x:row>
    <x:row r="96" ht="15" hidden="0" customHeight="1">
      <x:c r="A96" s="19" t="str">
        <x:v>r01-r04-audit-20260826:zuojiang-r02-self_third_party_exaggeration_density_gap</x:v>
      </x:c>
      <x:c r="B96" s="19" t="str">
        <x:v>r01-r04-audit-20260826:left-inquiry-2</x:v>
      </x:c>
      <x:c r="C96" s="19" t="str">
        <x:v>left-inquiry-2</x:v>
      </x:c>
      <x:c r="D96" s="19" t="str">
        <x:v>左江科技</x:v>
      </x:c>
      <x:c r="E96" s="19" t="n">
        <x:v>1</x:v>
      </x:c>
      <x:c r="F96" s="19" t="str"/>
    </x:row>
    <x:row r="97" ht="15" hidden="0" customHeight="1">
      <x:c r="A97" s="19" t="str">
        <x:v>r01-r04-audit-20260826:semidrive-r02-self_third_party_exaggeration_density_gap</x:v>
      </x:c>
      <x:c r="B97" s="19" t="str">
        <x:v>r01-r04-audit-20260826:semidrive-site-345b9ce570c2</x:v>
      </x:c>
      <x:c r="C97" s="19" t="str">
        <x:v>semidrive-site-345b9ce570c2</x:v>
      </x:c>
      <x:c r="D97" s="19" t="str">
        <x:v>芯驰科技</x:v>
      </x:c>
      <x:c r="E97" s="19" t="n">
        <x:v>1</x:v>
      </x:c>
      <x:c r="F97" s="19" t="str"/>
    </x:row>
    <x:row r="98" ht="15" hidden="0" customHeight="1">
      <x:c r="A98" s="19" t="str">
        <x:v>r01-r04-audit-20260826:semidrive-r02-self_third_party_exaggeration_density_gap</x:v>
      </x:c>
      <x:c r="B98" s="19" t="str">
        <x:v>r01-r04-audit-20260826:semidrive-site-07f56625c263</x:v>
      </x:c>
      <x:c r="C98" s="19" t="str">
        <x:v>semidrive-site-07f56625c263</x:v>
      </x:c>
      <x:c r="D98" s="19" t="str">
        <x:v>芯驰科技</x:v>
      </x:c>
      <x:c r="E98" s="19" t="n">
        <x:v>1</x:v>
      </x:c>
      <x:c r="F98" s="19" t="str"/>
    </x:row>
    <x:row r="99" ht="15" hidden="0" customHeight="1">
      <x:c r="A99" s="19" t="str">
        <x:v>r01-r04-audit-20260826:semidrive-r02-self_third_party_exaggeration_density_gap</x:v>
      </x:c>
      <x:c r="B99" s="19" t="str">
        <x:v>r01-r04-audit-20260826:semidrive-site-cb2a67e3422a</x:v>
      </x:c>
      <x:c r="C99" s="19" t="str">
        <x:v>semidrive-site-cb2a67e3422a</x:v>
      </x:c>
      <x:c r="D99" s="19" t="str">
        <x:v>芯驰科技</x:v>
      </x:c>
      <x:c r="E99" s="19" t="n">
        <x:v>1</x:v>
      </x:c>
      <x:c r="F99" s="19" t="str"/>
    </x:row>
    <x:row r="100" ht="15" hidden="0" customHeight="1">
      <x:c r="A100" s="19" t="str">
        <x:v>r01-r04-audit-20260826:semidrive-r02-self_third_party_exaggeration_density_gap</x:v>
      </x:c>
      <x:c r="B100" s="19" t="str">
        <x:v>r01-r04-audit-20260826:semidrive-site-6f3865b823e2</x:v>
      </x:c>
      <x:c r="C100" s="19" t="str">
        <x:v>semidrive-site-6f3865b823e2</x:v>
      </x:c>
      <x:c r="D100" s="19" t="str">
        <x:v>芯驰科技</x:v>
      </x:c>
      <x:c r="E100" s="19" t="n">
        <x:v>1</x:v>
      </x:c>
      <x:c r="F100" s="19" t="str"/>
    </x:row>
    <x:row r="101" ht="15" hidden="0" customHeight="1">
      <x:c r="A101" s="19" t="str">
        <x:v>r01-r04-audit-20260826:semidrive-r02-self_third_party_exaggeration_density_gap</x:v>
      </x:c>
      <x:c r="B101" s="19" t="str">
        <x:v>r01-r04-audit-20260826:semidrive-site-cc7cc1c76b92</x:v>
      </x:c>
      <x:c r="C101" s="19" t="str">
        <x:v>semidrive-site-cc7cc1c76b92</x:v>
      </x:c>
      <x:c r="D101" s="19" t="str">
        <x:v>芯驰科技</x:v>
      </x:c>
      <x:c r="E101" s="19" t="n">
        <x:v>1</x:v>
      </x:c>
      <x:c r="F101" s="19" t="str"/>
    </x:row>
    <x:row r="102" ht="15" hidden="0" customHeight="1">
      <x:c r="A102" s="19" t="str">
        <x:v>r01-r04-audit-20260826:semidrive-r02-self_third_party_exaggeration_density_gap</x:v>
      </x:c>
      <x:c r="B102" s="19" t="str">
        <x:v>r01-r04-audit-20260826:semidrive-site-6f97b3cf4966</x:v>
      </x:c>
      <x:c r="C102" s="19" t="str">
        <x:v>semidrive-site-6f97b3cf4966</x:v>
      </x:c>
      <x:c r="D102" s="19" t="str">
        <x:v>芯驰科技</x:v>
      </x:c>
      <x:c r="E102" s="19" t="n">
        <x:v>1</x:v>
      </x:c>
      <x:c r="F102" s="19" t="str"/>
    </x:row>
    <x:row r="103" ht="15" hidden="0" customHeight="1">
      <x:c r="A103" s="19" t="str">
        <x:v>r01-r04-audit-20260826:semidrive-r02-self_third_party_exaggeration_density_gap</x:v>
      </x:c>
      <x:c r="B103" s="19" t="str">
        <x:v>r01-r04-audit-20260826:semidrive-site-e8c2d2fb8f3a</x:v>
      </x:c>
      <x:c r="C103" s="19" t="str">
        <x:v>semidrive-site-e8c2d2fb8f3a</x:v>
      </x:c>
      <x:c r="D103" s="19" t="str">
        <x:v>芯驰科技</x:v>
      </x:c>
      <x:c r="E103" s="19" t="n">
        <x:v>1</x:v>
      </x:c>
      <x:c r="F103" s="19" t="str"/>
    </x:row>
    <x:row r="104" ht="15" hidden="0" customHeight="1">
      <x:c r="A104" s="19" t="str">
        <x:v>r01-r04-audit-20260826:semidrive-r02-self_third_party_exaggeration_density_gap</x:v>
      </x:c>
      <x:c r="B104" s="19" t="str">
        <x:v>r01-r04-audit-20260826:semidrive-site-087854d5279d</x:v>
      </x:c>
      <x:c r="C104" s="19" t="str">
        <x:v>semidrive-site-087854d5279d</x:v>
      </x:c>
      <x:c r="D104" s="19" t="str">
        <x:v>芯驰科技</x:v>
      </x:c>
      <x:c r="E104" s="19" t="n">
        <x:v>1</x:v>
      </x:c>
      <x:c r="F104" s="19" t="str"/>
    </x:row>
    <x:row r="105" ht="15" hidden="0" customHeight="1">
      <x:c r="A105" s="19" t="str">
        <x:v>r01-r04-audit-20260826:semidrive-r02-self_third_party_exaggeration_density_gap</x:v>
      </x:c>
      <x:c r="B105" s="19" t="str">
        <x:v>r01-r04-audit-20260826:semidrive-site-e6a3c73012b6</x:v>
      </x:c>
      <x:c r="C105" s="19" t="str">
        <x:v>semidrive-site-e6a3c73012b6</x:v>
      </x:c>
      <x:c r="D105" s="19" t="str">
        <x:v>芯驰科技</x:v>
      </x:c>
      <x:c r="E105" s="19" t="n">
        <x:v>1</x:v>
      </x:c>
      <x:c r="F105" s="19" t="str"/>
    </x:row>
    <x:row r="106" ht="15" hidden="0" customHeight="1">
      <x:c r="A106" s="19" t="str">
        <x:v>r01-r04-audit-20260826:semidrive-r02-self_third_party_exaggeration_density_gap</x:v>
      </x:c>
      <x:c r="B106" s="19" t="str">
        <x:v>r01-r04-audit-20260826:semidrive-site-30d92b95d391</x:v>
      </x:c>
      <x:c r="C106" s="19" t="str">
        <x:v>semidrive-site-30d92b95d391</x:v>
      </x:c>
      <x:c r="D106" s="19" t="str">
        <x:v>芯驰科技</x:v>
      </x:c>
      <x:c r="E106" s="19" t="n">
        <x:v>1</x:v>
      </x:c>
      <x:c r="F106" s="19" t="str"/>
    </x:row>
    <x:row r="107" ht="15" hidden="0" customHeight="1">
      <x:c r="A107" s="19" t="str">
        <x:v>r01-r04-audit-20260826:semidrive-r02-self_third_party_exaggeration_density_gap</x:v>
      </x:c>
      <x:c r="B107" s="19" t="str">
        <x:v>r01-r04-audit-20260826:semidrive-site-73ea8c87308b</x:v>
      </x:c>
      <x:c r="C107" s="19" t="str">
        <x:v>semidrive-site-73ea8c87308b</x:v>
      </x:c>
      <x:c r="D107" s="19" t="str">
        <x:v>芯驰科技</x:v>
      </x:c>
      <x:c r="E107" s="19" t="n">
        <x:v>1</x:v>
      </x:c>
      <x:c r="F107" s="19" t="str"/>
    </x:row>
    <x:row r="108" ht="15" hidden="0" customHeight="1">
      <x:c r="A108" s="19" t="str">
        <x:v>r01-r04-audit-20260826:semidrive-r02-self_third_party_exaggeration_density_gap</x:v>
      </x:c>
      <x:c r="B108" s="19" t="str">
        <x:v>r01-r04-audit-20260826:semidrive-site-08a604e040ec</x:v>
      </x:c>
      <x:c r="C108" s="19" t="str">
        <x:v>semidrive-site-08a604e040ec</x:v>
      </x:c>
      <x:c r="D108" s="19" t="str">
        <x:v>芯驰科技</x:v>
      </x:c>
      <x:c r="E108" s="19" t="n">
        <x:v>1</x:v>
      </x:c>
      <x:c r="F108" s="19" t="str"/>
    </x:row>
    <x:row r="109" ht="15" hidden="0" customHeight="1">
      <x:c r="A109" s="19" t="str">
        <x:v>r01-r04-audit-20260826:semidrive-r02-self_third_party_exaggeration_density_gap</x:v>
      </x:c>
      <x:c r="B109" s="19" t="str">
        <x:v>r01-r04-audit-20260826:semidrive-site-86ae0a178473</x:v>
      </x:c>
      <x:c r="C109" s="19" t="str">
        <x:v>semidrive-site-86ae0a178473</x:v>
      </x:c>
      <x:c r="D109" s="19" t="str">
        <x:v>芯驰科技</x:v>
      </x:c>
      <x:c r="E109" s="19" t="n">
        <x:v>1</x:v>
      </x:c>
      <x:c r="F109" s="19" t="str"/>
    </x:row>
    <x:row r="110" ht="15" hidden="0" customHeight="1">
      <x:c r="A110" s="19" t="str">
        <x:v>r01-r04-audit-20260826:semidrive-r02-self_third_party_exaggeration_density_gap</x:v>
      </x:c>
      <x:c r="B110" s="19" t="str">
        <x:v>r01-r04-audit-20260826:semidrive-site-51a164fe4313</x:v>
      </x:c>
      <x:c r="C110" s="19" t="str">
        <x:v>semidrive-site-51a164fe4313</x:v>
      </x:c>
      <x:c r="D110" s="19" t="str">
        <x:v>芯驰科技</x:v>
      </x:c>
      <x:c r="E110" s="19" t="n">
        <x:v>1</x:v>
      </x:c>
      <x:c r="F110" s="19" t="str"/>
    </x:row>
    <x:row r="111" ht="15" hidden="0" customHeight="1">
      <x:c r="A111" s="19" t="str">
        <x:v>r01-r04-audit-20260826:semidrive-r02-self_third_party_exaggeration_density_gap</x:v>
      </x:c>
      <x:c r="B111" s="19" t="str">
        <x:v>r01-r04-audit-20260826:semidrive-site-ce22f638bce1</x:v>
      </x:c>
      <x:c r="C111" s="19" t="str">
        <x:v>semidrive-site-ce22f638bce1</x:v>
      </x:c>
      <x:c r="D111" s="19" t="str">
        <x:v>芯驰科技</x:v>
      </x:c>
      <x:c r="E111" s="19" t="n">
        <x:v>1</x:v>
      </x:c>
      <x:c r="F111" s="19" t="str"/>
    </x:row>
    <x:row r="112" ht="15" hidden="0" customHeight="1">
      <x:c r="A112" s="19" t="str">
        <x:v>r01-r04-audit-20260826:semidrive-r02-self_third_party_exaggeration_density_gap</x:v>
      </x:c>
      <x:c r="B112" s="19" t="str">
        <x:v>r01-r04-audit-20260826:semidrive-site-c11eace89645</x:v>
      </x:c>
      <x:c r="C112" s="19" t="str">
        <x:v>semidrive-site-c11eace89645</x:v>
      </x:c>
      <x:c r="D112" s="19" t="str">
        <x:v>芯驰科技</x:v>
      </x:c>
      <x:c r="E112" s="19" t="n">
        <x:v>1</x:v>
      </x:c>
      <x:c r="F112" s="19" t="str"/>
    </x:row>
    <x:row r="113" ht="15" hidden="0" customHeight="1">
      <x:c r="A113" s="19" t="str">
        <x:v>r01-r04-audit-20260826:semidrive-r02-self_third_party_exaggeration_density_gap</x:v>
      </x:c>
      <x:c r="B113" s="19" t="str">
        <x:v>r01-r04-audit-20260826:semidrive-site-0d5e25b7ced9</x:v>
      </x:c>
      <x:c r="C113" s="19" t="str">
        <x:v>semidrive-site-0d5e25b7ced9</x:v>
      </x:c>
      <x:c r="D113" s="19" t="str">
        <x:v>芯驰科技</x:v>
      </x:c>
      <x:c r="E113" s="19" t="n">
        <x:v>1</x:v>
      </x:c>
      <x:c r="F113" s="19" t="str"/>
    </x:row>
    <x:row r="114" ht="15" hidden="0" customHeight="1">
      <x:c r="A114" s="19" t="str">
        <x:v>r01-r04-audit-20260826:semidrive-r02-self_third_party_exaggeration_density_gap</x:v>
      </x:c>
      <x:c r="B114" s="19" t="str">
        <x:v>r01-r04-audit-20260826:semidrive-site-db256e2ed2fb</x:v>
      </x:c>
      <x:c r="C114" s="19" t="str">
        <x:v>semidrive-site-db256e2ed2fb</x:v>
      </x:c>
      <x:c r="D114" s="19" t="str">
        <x:v>芯驰科技</x:v>
      </x:c>
      <x:c r="E114" s="19" t="n">
        <x:v>1</x:v>
      </x:c>
      <x:c r="F114" s="19" t="str"/>
    </x:row>
    <x:row r="115" ht="15" hidden="0" customHeight="1">
      <x:c r="A115" s="19" t="str">
        <x:v>r01-r04-audit-20260826:semidrive-r02-self_third_party_exaggeration_density_gap</x:v>
      </x:c>
      <x:c r="B115" s="19" t="str">
        <x:v>r01-r04-audit-20260826:semidrive-site-08c9aacd28ce</x:v>
      </x:c>
      <x:c r="C115" s="19" t="str">
        <x:v>semidrive-site-08c9aacd28ce</x:v>
      </x:c>
      <x:c r="D115" s="19" t="str">
        <x:v>芯驰科技</x:v>
      </x:c>
      <x:c r="E115" s="19" t="n">
        <x:v>1</x:v>
      </x:c>
      <x:c r="F115" s="19" t="str"/>
    </x:row>
    <x:row r="116" ht="15" hidden="0" customHeight="1">
      <x:c r="A116" s="19" t="str">
        <x:v>r01-r04-audit-20260826:semidrive-r02-self_third_party_exaggeration_density_gap</x:v>
      </x:c>
      <x:c r="B116" s="19" t="str">
        <x:v>r01-r04-audit-20260826:semidrive-site-a365b41fc882</x:v>
      </x:c>
      <x:c r="C116" s="19" t="str">
        <x:v>semidrive-site-a365b41fc882</x:v>
      </x:c>
      <x:c r="D116" s="19" t="str">
        <x:v>芯驰科技</x:v>
      </x:c>
      <x:c r="E116" s="19" t="n">
        <x:v>1</x:v>
      </x:c>
      <x:c r="F116" s="19" t="str"/>
    </x:row>
    <x:row r="117" ht="15" hidden="0" customHeight="1">
      <x:c r="A117" s="19" t="str">
        <x:v>r01-r04-audit-20260826:semidrive-r02-self_third_party_exaggeration_density_gap</x:v>
      </x:c>
      <x:c r="B117" s="19" t="str">
        <x:v>r01-r04-audit-20260826:semidrive-site-9853f645d6e5</x:v>
      </x:c>
      <x:c r="C117" s="19" t="str">
        <x:v>semidrive-site-9853f645d6e5</x:v>
      </x:c>
      <x:c r="D117" s="19" t="str">
        <x:v>芯驰科技</x:v>
      </x:c>
      <x:c r="E117" s="19" t="n">
        <x:v>1</x:v>
      </x:c>
      <x:c r="F117" s="19" t="str"/>
    </x:row>
    <x:row r="118" ht="15" hidden="0" customHeight="1">
      <x:c r="A118" s="19" t="str">
        <x:v>r01-r04-audit-20260826:semidrive-r02-self_third_party_exaggeration_density_gap</x:v>
      </x:c>
      <x:c r="B118" s="19" t="str">
        <x:v>r01-r04-audit-20260826:semidrive-site-2e15242925d5</x:v>
      </x:c>
      <x:c r="C118" s="19" t="str">
        <x:v>semidrive-site-2e15242925d5</x:v>
      </x:c>
      <x:c r="D118" s="19" t="str">
        <x:v>芯驰科技</x:v>
      </x:c>
      <x:c r="E118" s="19" t="n">
        <x:v>1</x:v>
      </x:c>
      <x:c r="F118" s="19" t="str"/>
    </x:row>
    <x:row r="119" ht="15" hidden="0" customHeight="1">
      <x:c r="A119" s="19" t="str">
        <x:v>r01-r04-audit-20260826:semidrive-r02-self_third_party_exaggeration_density_gap</x:v>
      </x:c>
      <x:c r="B119" s="19" t="str">
        <x:v>r01-r04-audit-20260826:semidrive-site-a196a0455aa7</x:v>
      </x:c>
      <x:c r="C119" s="19" t="str">
        <x:v>semidrive-site-a196a0455aa7</x:v>
      </x:c>
      <x:c r="D119" s="19" t="str">
        <x:v>芯驰科技</x:v>
      </x:c>
      <x:c r="E119" s="19" t="n">
        <x:v>1</x:v>
      </x:c>
      <x:c r="F119" s="19" t="str"/>
    </x:row>
    <x:row r="120" ht="15" hidden="0" customHeight="1">
      <x:c r="A120" s="19" t="str">
        <x:v>r01-r04-audit-20260826:semidrive-r02-self_third_party_exaggeration_density_gap</x:v>
      </x:c>
      <x:c r="B120" s="19" t="str">
        <x:v>r01-r04-audit-20260826:semidrive-site-e1c2a53ae353</x:v>
      </x:c>
      <x:c r="C120" s="19" t="str">
        <x:v>semidrive-site-e1c2a53ae353</x:v>
      </x:c>
      <x:c r="D120" s="19" t="str">
        <x:v>芯驰科技</x:v>
      </x:c>
      <x:c r="E120" s="19" t="n">
        <x:v>1</x:v>
      </x:c>
      <x:c r="F120" s="19" t="str"/>
    </x:row>
    <x:row r="121" ht="15" hidden="0" customHeight="1">
      <x:c r="A121" s="19" t="str">
        <x:v>r01-r04-audit-20260826:semidrive-r02-self_third_party_exaggeration_density_gap</x:v>
      </x:c>
      <x:c r="B121" s="19" t="str">
        <x:v>r01-r04-audit-20260826:semidrive-site-69ab4eb1b8f2</x:v>
      </x:c>
      <x:c r="C121" s="19" t="str">
        <x:v>semidrive-site-69ab4eb1b8f2</x:v>
      </x:c>
      <x:c r="D121" s="19" t="str">
        <x:v>芯驰科技</x:v>
      </x:c>
      <x:c r="E121" s="19" t="n">
        <x:v>1</x:v>
      </x:c>
      <x:c r="F121" s="19" t="str"/>
    </x:row>
    <x:row r="122" ht="15" hidden="0" customHeight="1">
      <x:c r="A122" s="19" t="str">
        <x:v>r01-r04-audit-20260826:semidrive-r02-self_third_party_exaggeration_density_gap</x:v>
      </x:c>
      <x:c r="B122" s="19" t="str">
        <x:v>r01-r04-audit-20260826:semidrive-site-db5d23625aa3</x:v>
      </x:c>
      <x:c r="C122" s="19" t="str">
        <x:v>semidrive-site-db5d23625aa3</x:v>
      </x:c>
      <x:c r="D122" s="19" t="str">
        <x:v>芯驰科技</x:v>
      </x:c>
      <x:c r="E122" s="19" t="n">
        <x:v>1</x:v>
      </x:c>
      <x:c r="F122" s="19" t="str"/>
    </x:row>
    <x:row r="123" ht="15" hidden="0" customHeight="1">
      <x:c r="A123" s="19" t="str">
        <x:v>r01-r04-audit-20260826:semidrive-r02-self_third_party_exaggeration_density_gap</x:v>
      </x:c>
      <x:c r="B123" s="19" t="str">
        <x:v>r01-r04-audit-20260826:semidrive-site-4d592335807f</x:v>
      </x:c>
      <x:c r="C123" s="19" t="str">
        <x:v>semidrive-site-4d592335807f</x:v>
      </x:c>
      <x:c r="D123" s="19" t="str">
        <x:v>芯驰科技</x:v>
      </x:c>
      <x:c r="E123" s="19" t="n">
        <x:v>1</x:v>
      </x:c>
      <x:c r="F123" s="19" t="str"/>
    </x:row>
    <x:row r="124" ht="15" hidden="0" customHeight="1">
      <x:c r="A124" s="19" t="str">
        <x:v>r01-r04-audit-20260826:semidrive-r02-self_third_party_exaggeration_density_gap</x:v>
      </x:c>
      <x:c r="B124" s="19" t="str">
        <x:v>r01-r04-audit-20260826:semidrive-site-2f078ab9bfcb</x:v>
      </x:c>
      <x:c r="C124" s="19" t="str">
        <x:v>semidrive-site-2f078ab9bfcb</x:v>
      </x:c>
      <x:c r="D124" s="19" t="str">
        <x:v>芯驰科技</x:v>
      </x:c>
      <x:c r="E124" s="19" t="n">
        <x:v>1</x:v>
      </x:c>
      <x:c r="F124" s="19" t="str"/>
    </x:row>
    <x:row r="125" ht="15" hidden="0" customHeight="1">
      <x:c r="A125" s="19" t="str">
        <x:v>r01-r04-audit-20260826:semidrive-r02-self_third_party_exaggeration_density_gap</x:v>
      </x:c>
      <x:c r="B125" s="19" t="str">
        <x:v>r01-r04-audit-20260826:semidrive-site-fb7c3f1acf9d</x:v>
      </x:c>
      <x:c r="C125" s="19" t="str">
        <x:v>semidrive-site-fb7c3f1acf9d</x:v>
      </x:c>
      <x:c r="D125" s="19" t="str">
        <x:v>芯驰科技</x:v>
      </x:c>
      <x:c r="E125" s="19" t="n">
        <x:v>1</x:v>
      </x:c>
      <x:c r="F125" s="19" t="str"/>
    </x:row>
    <x:row r="126" ht="15" hidden="0" customHeight="1">
      <x:c r="A126" s="19" t="str">
        <x:v>r01-r04-audit-20260826:semidrive-r02-self_third_party_exaggeration_density_gap</x:v>
      </x:c>
      <x:c r="B126" s="19" t="str">
        <x:v>r01-r04-audit-20260826:semidrive-site-cf7407f9cd66</x:v>
      </x:c>
      <x:c r="C126" s="19" t="str">
        <x:v>semidrive-site-cf7407f9cd66</x:v>
      </x:c>
      <x:c r="D126" s="19" t="str">
        <x:v>芯驰科技</x:v>
      </x:c>
      <x:c r="E126" s="19" t="n">
        <x:v>1</x:v>
      </x:c>
      <x:c r="F126" s="19" t="str"/>
    </x:row>
    <x:row r="127" ht="15" hidden="0" customHeight="1">
      <x:c r="A127" s="19" t="str">
        <x:v>r01-r04-audit-20260826:bailitannheng-r02-self_third_party_exaggeration_density_gap</x:v>
      </x:c>
      <x:c r="B127" s="19" t="str">
        <x:v>r01-r04-audit-20260826:baili-2025h1</x:v>
      </x:c>
      <x:c r="C127" s="19" t="str">
        <x:v>baili-2025h1</x:v>
      </x:c>
      <x:c r="D127" s="19" t="str">
        <x:v>百利天恒</x:v>
      </x:c>
      <x:c r="E127" s="19" t="n">
        <x:v>1</x:v>
      </x:c>
      <x:c r="F127" s="19" t="str"/>
    </x:row>
    <x:row r="128" ht="15" hidden="0" customHeight="1">
      <x:c r="A128" s="19" t="str">
        <x:v>r01-r04-audit-20260826:bailitannheng-r02-self_third_party_exaggeration_density_gap</x:v>
      </x:c>
      <x:c r="B128" s="19" t="str">
        <x:v>r01-r04-audit-20260826:baili-2025q3</x:v>
      </x:c>
      <x:c r="C128" s="19" t="str">
        <x:v>baili-2025q3</x:v>
      </x:c>
      <x:c r="D128" s="19" t="str">
        <x:v>百利天恒</x:v>
      </x:c>
      <x:c r="E128" s="19" t="n">
        <x:v>1</x:v>
      </x:c>
      <x:c r="F128" s="19" t="str"/>
    </x:row>
    <x:row r="129" ht="15" hidden="0" customHeight="1">
      <x:c r="A129" s="19" t="str">
        <x:v>r01-r04-audit-20260826:bailitannheng-r02-self_third_party_exaggeration_density_gap</x:v>
      </x:c>
      <x:c r="B129" s="19" t="str">
        <x:v>r01-r04-audit-20260826:baili-2025a</x:v>
      </x:c>
      <x:c r="C129" s="19" t="str">
        <x:v>baili-2025a</x:v>
      </x:c>
      <x:c r="D129" s="19" t="str">
        <x:v>百利天恒</x:v>
      </x:c>
      <x:c r="E129" s="19" t="n">
        <x:v>1</x:v>
      </x:c>
      <x:c r="F129" s="19" t="str"/>
    </x:row>
    <x:row r="130" ht="15" hidden="0" customHeight="1">
      <x:c r="A130" s="19" t="str">
        <x:v>r01-r04-audit-20260826:bailitannheng-r02-self_third_party_exaggeration_density_gap</x:v>
      </x:c>
      <x:c r="B130" s="19" t="str">
        <x:v>r01-r04-audit-20260826:baili-2026q1</x:v>
      </x:c>
      <x:c r="C130" s="19" t="str">
        <x:v>baili-2026q1</x:v>
      </x:c>
      <x:c r="D130" s="19" t="str">
        <x:v>百利天恒</x:v>
      </x:c>
      <x:c r="E130" s="19" t="n">
        <x:v>1</x:v>
      </x:c>
      <x:c r="F130" s="19" t="str"/>
    </x:row>
    <x:row r="131" ht="15" hidden="0" customHeight="1">
      <x:c r="A131" s="19" t="str">
        <x:v>r01-r04-audit-20260826:bailitannheng-r02-self_third_party_exaggeration_density_gap</x:v>
      </x:c>
      <x:c r="B131" s="19" t="str">
        <x:v>r01-r04-audit-20260826:baili-clinical-20260818</x:v>
      </x:c>
      <x:c r="C131" s="19" t="str">
        <x:v>baili-clinical-20260818</x:v>
      </x:c>
      <x:c r="D131" s="19" t="str">
        <x:v>百利天恒</x:v>
      </x:c>
      <x:c r="E131" s="19" t="n">
        <x:v>1</x:v>
      </x:c>
      <x:c r="F131" s="19" t="str"/>
    </x:row>
    <x:row r="132" ht="15" hidden="0" customHeight="1">
      <x:c r="A132" s="19" t="str">
        <x:v>r01-r04-audit-20260826:bailitannheng-r02-self_third_party_exaggeration_density_gap</x:v>
      </x:c>
      <x:c r="B132" s="19" t="str">
        <x:v>r01-r04-audit-20260826:baili-clinical-20260826</x:v>
      </x:c>
      <x:c r="C132" s="19" t="str">
        <x:v>baili-clinical-20260826</x:v>
      </x:c>
      <x:c r="D132" s="19" t="str">
        <x:v>百利天恒</x:v>
      </x:c>
      <x:c r="E132" s="19" t="n">
        <x:v>1</x:v>
      </x:c>
      <x:c r="F132" s="19" t="str"/>
    </x:row>
    <x:row r="133" ht="15" hidden="0" customHeight="1">
      <x:c r="A133" s="19" t="str">
        <x:v>r01-r04-audit-20260826:bailitannheng-r02-self_third_party_exaggeration_density_gap</x:v>
      </x:c>
      <x:c r="B133" s="19" t="str">
        <x:v>r01-r04-audit-20260826:baili-bms</x:v>
      </x:c>
      <x:c r="C133" s="19" t="str">
        <x:v>baili-bms</x:v>
      </x:c>
      <x:c r="D133" s="19" t="str">
        <x:v>百利天恒</x:v>
      </x:c>
      <x:c r="E133" s="19" t="n">
        <x:v>1</x:v>
      </x:c>
      <x:c r="F133" s="19" t="str"/>
    </x:row>
    <x:row r="134" ht="15" hidden="0" customHeight="1">
      <x:c r="A134" s="19" t="str">
        <x:v>r01-r04-audit-20260826:bailitannheng-r02-self_third_party_exaggeration_density_gap</x:v>
      </x:c>
      <x:c r="B134" s="19" t="str">
        <x:v>r01-r04-audit-20260826:media-bailitannheng-196b1e750bf8</x:v>
      </x:c>
      <x:c r="C134" s="19" t="str">
        <x:v>media-bailitannheng-196b1e750bf8</x:v>
      </x:c>
      <x:c r="D134" s="19" t="str">
        <x:v>百利天恒</x:v>
      </x:c>
      <x:c r="E134" s="19" t="n">
        <x:v>1</x:v>
      </x:c>
      <x:c r="F134" s="19" t="str"/>
    </x:row>
    <x:row r="135" ht="15" hidden="0" customHeight="1">
      <x:c r="A135" s="19" t="str">
        <x:v>r01-r04-audit-20260826:bailitannheng-r02-self_third_party_exaggeration_density_gap</x:v>
      </x:c>
      <x:c r="B135" s="19" t="str">
        <x:v>r01-r04-audit-20260826:media-bailitannheng-7dfd912b802e</x:v>
      </x:c>
      <x:c r="C135" s="19" t="str">
        <x:v>media-bailitannheng-7dfd912b802e</x:v>
      </x:c>
      <x:c r="D135" s="19" t="str">
        <x:v>百利天恒</x:v>
      </x:c>
      <x:c r="E135" s="19" t="n">
        <x:v>1</x:v>
      </x:c>
      <x:c r="F135" s="19" t="str"/>
    </x:row>
    <x:row r="136" ht="15" hidden="0" customHeight="1">
      <x:c r="A136" s="19" t="str">
        <x:v>r01-r04-audit-20260826:bailitannheng-r02-self_third_party_exaggeration_density_gap</x:v>
      </x:c>
      <x:c r="B136" s="19" t="str">
        <x:v>r01-r04-audit-20260826:media-bailitannheng-78368d9d5d1d</x:v>
      </x:c>
      <x:c r="C136" s="19" t="str">
        <x:v>media-bailitannheng-78368d9d5d1d</x:v>
      </x:c>
      <x:c r="D136" s="19" t="str">
        <x:v>百利天恒</x:v>
      </x:c>
      <x:c r="E136" s="19" t="n">
        <x:v>1</x:v>
      </x:c>
      <x:c r="F136" s="19" t="str"/>
    </x:row>
    <x:row r="137" ht="15" hidden="0" customHeight="1">
      <x:c r="A137" s="19" t="str">
        <x:v>r01-r04-audit-20260826:bailitannheng-r02-self_third_party_exaggeration_density_gap</x:v>
      </x:c>
      <x:c r="B137" s="19" t="str">
        <x:v>r01-r04-audit-20260826:media-bailitannheng-7f4be09f219d</x:v>
      </x:c>
      <x:c r="C137" s="19" t="str">
        <x:v>media-bailitannheng-7f4be09f219d</x:v>
      </x:c>
      <x:c r="D137" s="19" t="str">
        <x:v>百利天恒</x:v>
      </x:c>
      <x:c r="E137" s="19" t="n">
        <x:v>1</x:v>
      </x:c>
      <x:c r="F137" s="19" t="str"/>
    </x:row>
    <x:row r="138" ht="15" hidden="0" customHeight="1">
      <x:c r="A138" s="19" t="str">
        <x:v>r01-r04-audit-20260826:bailitannheng-r02-self_third_party_exaggeration_density_gap</x:v>
      </x:c>
      <x:c r="B138" s="19" t="str">
        <x:v>r01-r04-audit-20260826:media-bailitannheng-ac1786a72038</x:v>
      </x:c>
      <x:c r="C138" s="19" t="str">
        <x:v>media-bailitannheng-ac1786a72038</x:v>
      </x:c>
      <x:c r="D138" s="19" t="str">
        <x:v>百利天恒</x:v>
      </x:c>
      <x:c r="E138" s="19" t="n">
        <x:v>1</x:v>
      </x:c>
      <x:c r="F138" s="19" t="str"/>
    </x:row>
    <x:row r="139" ht="15" hidden="0" customHeight="1">
      <x:c r="A139" s="19" t="str">
        <x:v>r01-r04-audit-20260826:bailitannheng-r02-self_third_party_exaggeration_density_gap</x:v>
      </x:c>
      <x:c r="B139" s="19" t="str">
        <x:v>r01-r04-audit-20260826:media-bailitannheng-4cfcd2fb3b7b</x:v>
      </x:c>
      <x:c r="C139" s="19" t="str">
        <x:v>media-bailitannheng-4cfcd2fb3b7b</x:v>
      </x:c>
      <x:c r="D139" s="19" t="str">
        <x:v>百利天恒</x:v>
      </x:c>
      <x:c r="E139" s="19" t="n">
        <x:v>1</x:v>
      </x:c>
      <x:c r="F139" s="19" t="str"/>
    </x:row>
    <x:row r="140" ht="15" hidden="0" customHeight="1">
      <x:c r="A140" s="19" t="str">
        <x:v>r01-r04-audit-20260826:cambricon-r03-formal_narrative_mean_adjacent_cosine</x:v>
      </x:c>
      <x:c r="B140" s="19" t="str">
        <x:v>r01-r04-audit-20260826:cam-2025q3</x:v>
      </x:c>
      <x:c r="C140" s="19" t="str">
        <x:v>cam-2025q3</x:v>
      </x:c>
      <x:c r="D140" s="19" t="str">
        <x:v>寒武纪</x:v>
      </x:c>
      <x:c r="E140" s="19" t="n">
        <x:v>1</x:v>
      </x:c>
      <x:c r="F140" s="19" t="str"/>
    </x:row>
    <x:row r="141" ht="15" hidden="0" customHeight="1">
      <x:c r="A141" s="19" t="str">
        <x:v>r01-r04-audit-20260826:cambricon-r03-formal_narrative_mean_adjacent_cosine</x:v>
      </x:c>
      <x:c r="B141" s="19" t="str">
        <x:v>r01-r04-audit-20260826:cam-2025a</x:v>
      </x:c>
      <x:c r="C141" s="19" t="str">
        <x:v>cam-2025a</x:v>
      </x:c>
      <x:c r="D141" s="19" t="str">
        <x:v>寒武纪</x:v>
      </x:c>
      <x:c r="E141" s="19" t="n">
        <x:v>1</x:v>
      </x:c>
      <x:c r="F141" s="19" t="str"/>
    </x:row>
    <x:row r="142" ht="15" hidden="0" customHeight="1">
      <x:c r="A142" s="19" t="str">
        <x:v>r01-r04-audit-20260826:cambricon-r03-formal_narrative_mean_adjacent_cosine</x:v>
      </x:c>
      <x:c r="B142" s="19" t="str">
        <x:v>r01-r04-audit-20260826:cam-2026q1</x:v>
      </x:c>
      <x:c r="C142" s="19" t="str">
        <x:v>cam-2026q1</x:v>
      </x:c>
      <x:c r="D142" s="19" t="str">
        <x:v>寒武纪</x:v>
      </x:c>
      <x:c r="E142" s="19" t="n">
        <x:v>1</x:v>
      </x:c>
      <x:c r="F142" s="19" t="str"/>
    </x:row>
    <x:row r="143" ht="15" hidden="0" customHeight="1">
      <x:c r="A143" s="19" t="str">
        <x:v>r01-r04-audit-20260826:cambricon-r03-formal_narrative_mean_adjacent_cosine</x:v>
      </x:c>
      <x:c r="B143" s="19" t="str">
        <x:v>r01-r04-audit-20260826:cam-2026h1</x:v>
      </x:c>
      <x:c r="C143" s="19" t="str">
        <x:v>cam-2026h1</x:v>
      </x:c>
      <x:c r="D143" s="19" t="str">
        <x:v>寒武纪</x:v>
      </x:c>
      <x:c r="E143" s="19" t="n">
        <x:v>1</x:v>
      </x:c>
      <x:c r="F143" s="19" t="str"/>
    </x:row>
    <x:row r="144" ht="15" hidden="0" customHeight="1">
      <x:c r="A144" s="19" t="str">
        <x:v>r01-r04-audit-20260826:cambricon-r03-management_tone_stability_std</x:v>
      </x:c>
      <x:c r="B144" s="19" t="str">
        <x:v>r01-r04-audit-20260826:roadshow-34929</x:v>
      </x:c>
      <x:c r="C144" s="19" t="str">
        <x:v>roadshow-34929</x:v>
      </x:c>
      <x:c r="D144" s="19" t="str">
        <x:v>寒武纪</x:v>
      </x:c>
      <x:c r="E144" s="19" t="n">
        <x:v>1</x:v>
      </x:c>
      <x:c r="F144" s="19" t="str"/>
    </x:row>
    <x:row r="145" ht="15" hidden="0" customHeight="1">
      <x:c r="A145" s="19" t="str">
        <x:v>r01-r04-audit-20260826:cambricon-r03-management_tone_stability_std</x:v>
      </x:c>
      <x:c r="B145" s="19" t="str">
        <x:v>r01-r04-audit-20260826:roadshow-38704</x:v>
      </x:c>
      <x:c r="C145" s="19" t="str">
        <x:v>roadshow-38704</x:v>
      </x:c>
      <x:c r="D145" s="19" t="str">
        <x:v>寒武纪</x:v>
      </x:c>
      <x:c r="E145" s="19" t="n">
        <x:v>1</x:v>
      </x:c>
      <x:c r="F145" s="19" t="str"/>
    </x:row>
    <x:row r="146" ht="15" hidden="0" customHeight="1">
      <x:c r="A146" s="19" t="str">
        <x:v>r01-r04-audit-20260826:cambricon-r03-management_tone_stability_std</x:v>
      </x:c>
      <x:c r="B146" s="19" t="str">
        <x:v>r01-r04-audit-20260826:roadshow-40262</x:v>
      </x:c>
      <x:c r="C146" s="19" t="str">
        <x:v>roadshow-40262</x:v>
      </x:c>
      <x:c r="D146" s="19" t="str">
        <x:v>寒武纪</x:v>
      </x:c>
      <x:c r="E146" s="19" t="n">
        <x:v>1</x:v>
      </x:c>
      <x:c r="F146" s="19" t="str"/>
    </x:row>
    <x:row r="147" ht="15" hidden="0" customHeight="1">
      <x:c r="A147" s="19" t="str">
        <x:v>r01-r04-audit-20260826:zuojiang-r03-formal_narrative_mean_adjacent_cosine</x:v>
      </x:c>
      <x:c r="B147" s="19" t="str">
        <x:v>r01-r04-audit-20260826:left-2021a</x:v>
      </x:c>
      <x:c r="C147" s="19" t="str">
        <x:v>left-2021a</x:v>
      </x:c>
      <x:c r="D147" s="19" t="str">
        <x:v>左江科技</x:v>
      </x:c>
      <x:c r="E147" s="19" t="n">
        <x:v>1</x:v>
      </x:c>
      <x:c r="F147" s="19" t="str"/>
    </x:row>
    <x:row r="148" ht="15" hidden="0" customHeight="1">
      <x:c r="A148" s="19" t="str">
        <x:v>r01-r04-audit-20260826:zuojiang-r03-formal_narrative_mean_adjacent_cosine</x:v>
      </x:c>
      <x:c r="B148" s="19" t="str">
        <x:v>r01-r04-audit-20260826:left-2022a</x:v>
      </x:c>
      <x:c r="C148" s="19" t="str">
        <x:v>left-2022a</x:v>
      </x:c>
      <x:c r="D148" s="19" t="str">
        <x:v>左江科技</x:v>
      </x:c>
      <x:c r="E148" s="19" t="n">
        <x:v>1</x:v>
      </x:c>
      <x:c r="F148" s="19" t="str"/>
    </x:row>
    <x:row r="149" ht="15" hidden="0" customHeight="1">
      <x:c r="A149" s="19" t="str">
        <x:v>r01-r04-audit-20260826:zuojiang-r03-formal_narrative_mean_adjacent_cosine</x:v>
      </x:c>
      <x:c r="B149" s="19" t="str">
        <x:v>r01-r04-audit-20260826:left-2023h1</x:v>
      </x:c>
      <x:c r="C149" s="19" t="str">
        <x:v>left-2023h1</x:v>
      </x:c>
      <x:c r="D149" s="19" t="str">
        <x:v>左江科技</x:v>
      </x:c>
      <x:c r="E149" s="19" t="n">
        <x:v>1</x:v>
      </x:c>
      <x:c r="F149" s="19" t="str"/>
    </x:row>
    <x:row r="150" ht="15" hidden="0" customHeight="1">
      <x:c r="A150" s="19" t="str">
        <x:v>r01-r04-audit-20260826:zuojiang-r03-formal_narrative_mean_adjacent_cosine</x:v>
      </x:c>
      <x:c r="B150" s="19" t="str">
        <x:v>r01-r04-audit-20260826:left-2023q3</x:v>
      </x:c>
      <x:c r="C150" s="19" t="str">
        <x:v>left-2023q3</x:v>
      </x:c>
      <x:c r="D150" s="19" t="str">
        <x:v>左江科技</x:v>
      </x:c>
      <x:c r="E150" s="19" t="n">
        <x:v>1</x:v>
      </x:c>
      <x:c r="F150" s="19" t="str"/>
    </x:row>
    <x:row r="151" ht="15" hidden="0" customHeight="1">
      <x:c r="A151" s="19" t="str">
        <x:v>r01-r04-audit-20260826:semidrive-r03-formal_narrative_mean_adjacent_cosine</x:v>
      </x:c>
      <x:c r="B151" s="19" t="str">
        <x:v>r01-r04-audit-20260826:semidrive-site-4d592335807f</x:v>
      </x:c>
      <x:c r="C151" s="19" t="str">
        <x:v>semidrive-site-4d592335807f</x:v>
      </x:c>
      <x:c r="D151" s="19" t="str">
        <x:v>芯驰科技</x:v>
      </x:c>
      <x:c r="E151" s="19" t="n">
        <x:v>1</x:v>
      </x:c>
      <x:c r="F151" s="19" t="str"/>
    </x:row>
    <x:row r="152" ht="15" hidden="0" customHeight="1">
      <x:c r="A152" s="19" t="str">
        <x:v>r01-r04-audit-20260826:semidrive-r03-formal_narrative_mean_adjacent_cosine</x:v>
      </x:c>
      <x:c r="B152" s="19" t="str">
        <x:v>r01-r04-audit-20260826:semidrive-site-2f078ab9bfcb</x:v>
      </x:c>
      <x:c r="C152" s="19" t="str">
        <x:v>semidrive-site-2f078ab9bfcb</x:v>
      </x:c>
      <x:c r="D152" s="19" t="str">
        <x:v>芯驰科技</x:v>
      </x:c>
      <x:c r="E152" s="19" t="n">
        <x:v>1</x:v>
      </x:c>
      <x:c r="F152" s="19" t="str"/>
    </x:row>
    <x:row r="153" ht="15" hidden="0" customHeight="1">
      <x:c r="A153" s="19" t="str">
        <x:v>r01-r04-audit-20260826:semidrive-r03-formal_narrative_mean_adjacent_cosine</x:v>
      </x:c>
      <x:c r="B153" s="19" t="str">
        <x:v>r01-r04-audit-20260826:semidrive-site-fb7c3f1acf9d</x:v>
      </x:c>
      <x:c r="C153" s="19" t="str">
        <x:v>semidrive-site-fb7c3f1acf9d</x:v>
      </x:c>
      <x:c r="D153" s="19" t="str">
        <x:v>芯驰科技</x:v>
      </x:c>
      <x:c r="E153" s="19" t="n">
        <x:v>1</x:v>
      </x:c>
      <x:c r="F153" s="19" t="str"/>
    </x:row>
    <x:row r="154" ht="15" hidden="0" customHeight="1">
      <x:c r="A154" s="19" t="str">
        <x:v>r01-r04-audit-20260826:semidrive-r03-formal_narrative_mean_adjacent_cosine</x:v>
      </x:c>
      <x:c r="B154" s="19" t="str">
        <x:v>r01-r04-audit-20260826:semidrive-site-cf7407f9cd66</x:v>
      </x:c>
      <x:c r="C154" s="19" t="str">
        <x:v>semidrive-site-cf7407f9cd66</x:v>
      </x:c>
      <x:c r="D154" s="19" t="str">
        <x:v>芯驰科技</x:v>
      </x:c>
      <x:c r="E154" s="19" t="n">
        <x:v>1</x:v>
      </x:c>
      <x:c r="F154" s="19" t="str"/>
    </x:row>
    <x:row r="155" ht="15" hidden="0" customHeight="1">
      <x:c r="A155" s="19" t="str">
        <x:v>r01-r04-audit-20260826:bailitannheng-r03-formal_narrative_mean_adjacent_cosine</x:v>
      </x:c>
      <x:c r="B155" s="19" t="str">
        <x:v>r01-r04-audit-20260826:baili-2025h1</x:v>
      </x:c>
      <x:c r="C155" s="19" t="str">
        <x:v>baili-2025h1</x:v>
      </x:c>
      <x:c r="D155" s="19" t="str">
        <x:v>百利天恒</x:v>
      </x:c>
      <x:c r="E155" s="19" t="n">
        <x:v>1</x:v>
      </x:c>
      <x:c r="F155" s="19" t="str"/>
    </x:row>
    <x:row r="156" ht="15" hidden="0" customHeight="1">
      <x:c r="A156" s="19" t="str">
        <x:v>r01-r04-audit-20260826:bailitannheng-r03-formal_narrative_mean_adjacent_cosine</x:v>
      </x:c>
      <x:c r="B156" s="19" t="str">
        <x:v>r01-r04-audit-20260826:baili-2025q3</x:v>
      </x:c>
      <x:c r="C156" s="19" t="str">
        <x:v>baili-2025q3</x:v>
      </x:c>
      <x:c r="D156" s="19" t="str">
        <x:v>百利天恒</x:v>
      </x:c>
      <x:c r="E156" s="19" t="n">
        <x:v>1</x:v>
      </x:c>
      <x:c r="F156" s="19" t="str"/>
    </x:row>
    <x:row r="157" ht="15" hidden="0" customHeight="1">
      <x:c r="A157" s="19" t="str">
        <x:v>r01-r04-audit-20260826:bailitannheng-r03-formal_narrative_mean_adjacent_cosine</x:v>
      </x:c>
      <x:c r="B157" s="19" t="str">
        <x:v>r01-r04-audit-20260826:baili-2025a</x:v>
      </x:c>
      <x:c r="C157" s="19" t="str">
        <x:v>baili-2025a</x:v>
      </x:c>
      <x:c r="D157" s="19" t="str">
        <x:v>百利天恒</x:v>
      </x:c>
      <x:c r="E157" s="19" t="n">
        <x:v>1</x:v>
      </x:c>
      <x:c r="F157" s="19" t="str"/>
    </x:row>
    <x:row r="158" ht="15" hidden="0" customHeight="1">
      <x:c r="A158" s="19" t="str">
        <x:v>r01-r04-audit-20260826:bailitannheng-r03-formal_narrative_mean_adjacent_cosine</x:v>
      </x:c>
      <x:c r="B158" s="19" t="str">
        <x:v>r01-r04-audit-20260826:baili-2026q1</x:v>
      </x:c>
      <x:c r="C158" s="19" t="str">
        <x:v>baili-2026q1</x:v>
      </x:c>
      <x:c r="D158" s="19" t="str">
        <x:v>百利天恒</x:v>
      </x:c>
      <x:c r="E158" s="19" t="n">
        <x:v>1</x:v>
      </x:c>
      <x:c r="F158" s="19" t="str"/>
    </x:row>
    <x:row r="159" ht="15" hidden="0" customHeight="1">
      <x:c r="A159" s="19" t="str">
        <x:v>r01-r04-audit-20260826:cambricon-r04-concept_related_revenue_share_pct</x:v>
      </x:c>
      <x:c r="B159" s="19" t="str">
        <x:v>r01-r04-audit-20260826:cam-2025a</x:v>
      </x:c>
      <x:c r="C159" s="19" t="str">
        <x:v>cam-2025a</x:v>
      </x:c>
      <x:c r="D159" s="19" t="str">
        <x:v>寒武纪</x:v>
      </x:c>
      <x:c r="E159" s="19" t="n">
        <x:v>1</x:v>
      </x:c>
      <x:c r="F159" s="19" t="str"/>
    </x:row>
    <x:row r="160" ht="15" hidden="0" customHeight="1">
      <x:c r="A160" s="19" t="str">
        <x:v>r01-r04-audit-20260826:zuojiang-r04-concept_related_revenue_share_pct</x:v>
      </x:c>
      <x:c r="B160" s="19" t="str">
        <x:v>r01-r04-audit-20260826:left-2023q3</x:v>
      </x:c>
      <x:c r="C160" s="19" t="str">
        <x:v>left-2023q3</x:v>
      </x:c>
      <x:c r="D160" s="19" t="str">
        <x:v>左江科技</x:v>
      </x:c>
      <x:c r="E160" s="19" t="n">
        <x:v>1</x:v>
      </x:c>
      <x:c r="F160" s="19" t="str"/>
    </x:row>
    <x:row r="161" ht="15" hidden="0" customHeight="1">
      <x:c r="A161" s="19" t="str">
        <x:v>r01-r04-audit-20260826:zuojiang-r04-concept_related_revenue_share_pct</x:v>
      </x:c>
      <x:c r="B161" s="19" t="str">
        <x:v>r01-r04-audit-20260826:left-inquiry-2</x:v>
      </x:c>
      <x:c r="C161" s="19" t="str">
        <x:v>left-inquiry-2</x:v>
      </x:c>
      <x:c r="D161" s="19" t="str">
        <x:v>左江科技</x:v>
      </x:c>
      <x:c r="E161" s="19" t="n">
        <x:v>1</x:v>
      </x:c>
      <x:c r="F161" s="19" t="str"/>
    </x:row>
    <x:row r="162" ht="15" hidden="0" customHeight="1">
      <x:c r="A162" s="19" t="str">
        <x:v>r01-r04-audit-20260826:bailitannheng-r04-concept_related_revenue_share_pct</x:v>
      </x:c>
      <x:c r="B162" s="19" t="str">
        <x:v>r01-r04-audit-20260826:baili-2025a</x:v>
      </x:c>
      <x:c r="C162" s="19" t="str">
        <x:v>baili-2025a</x:v>
      </x:c>
      <x:c r="D162" s="19" t="str">
        <x:v>百利天恒</x:v>
      </x:c>
      <x:c r="E162" s="19" t="n">
        <x:v>1</x:v>
      </x:c>
      <x:c r="F162" s="19" t="str"/>
    </x:row>
    <x:row r="163" ht="15" hidden="0" customHeight="1">
      <x:c r="A163" s="19" t="str">
        <x:v>r01-r04-audit-20260826:cambricon:pdqi-formal</x:v>
      </x:c>
      <x:c r="B163" s="19" t="str">
        <x:v>r01-r04-audit-20260826:cam-2025a</x:v>
      </x:c>
      <x:c r="C163" s="19" t="str">
        <x:v>cam-2025a</x:v>
      </x:c>
      <x:c r="D163" s="19" t="str">
        <x:v>寒武纪</x:v>
      </x:c>
      <x:c r="E163" s="19" t="n">
        <x:v>1</x:v>
      </x:c>
      <x:c r="F163" s="19" t="str"/>
    </x:row>
    <x:row r="164" ht="15" hidden="0" customHeight="1">
      <x:c r="A164" s="19" t="str">
        <x:v>r01-r04-audit-20260826:zuojiang-technology:pdqi-formal</x:v>
      </x:c>
      <x:c r="B164" s="19" t="str">
        <x:v>r01-r04-audit-20260826:left-2022a</x:v>
      </x:c>
      <x:c r="C164" s="19" t="str">
        <x:v>left-2022a</x:v>
      </x:c>
      <x:c r="D164" s="19" t="str">
        <x:v>左江科技</x:v>
      </x:c>
      <x:c r="E164" s="19" t="n">
        <x:v>1</x:v>
      </x:c>
      <x:c r="F164" s="19" t="str"/>
    </x:row>
    <x:row r="165" ht="15" hidden="0" customHeight="1">
      <x:c r="A165" s="19" t="str">
        <x:v>r01-r04-audit-20260826:baili-tianheng:pdqi-formal</x:v>
      </x:c>
      <x:c r="B165" s="19" t="str">
        <x:v>r01-r04-audit-20260826:baili-2025a</x:v>
      </x:c>
      <x:c r="C165" s="19" t="str">
        <x:v>baili-2025a</x:v>
      </x:c>
      <x:c r="D165" s="19" t="str">
        <x:v>百利天恒</x:v>
      </x:c>
      <x:c r="E165" s="19" t="n">
        <x:v>1</x:v>
      </x:c>
      <x:c r="F165" s="19" t="str"/>
    </x:row>
  </x:sheetData>
  <x:mergeCells>
    <x:mergeCell ref="A1:F2"/>
    <x:mergeCell ref="A3:F3"/>
  </x:mergeCells>
  <x:conditionalFormatting sqref="E5:E165">
    <x:cfRule type="cellIs" dxfId="13" priority="1" operator="greater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8cc30f20c145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28" hidden="0" customWidth="1"/>
    <x:col min="4" max="4" width="14" hidden="0" customWidth="1"/>
    <x:col min="5" max="5" width="24" hidden="0" customWidth="1"/>
    <x:col min="6" max="6" width="82" hidden="0" customWidth="1"/>
    <x:col min="7" max="7" width="72" hidden="0" customWidth="1"/>
    <x:col min="8" max="8" width="36" hidden="0" customWidth="1"/>
  </x:cols>
  <x:sheetData>
    <x:row r="1" ht="34" customHeight="1">
      <x:c r="A1" s="3" t="str">
        <x:v>Ego 浏览器验证记录</x:v>
      </x:c>
      <x:c r="B1" s="3" t="str">
        <x:v>Ego 浏览器验证记录</x:v>
      </x:c>
      <x:c r="C1" s="3" t="str">
        <x:v>Ego 浏览器验证记录</x:v>
      </x:c>
      <x:c r="D1" s="3" t="str">
        <x:v>Ego 浏览器验证记录</x:v>
      </x:c>
      <x:c r="E1" s="3" t="str">
        <x:v>Ego 浏览器验证记录</x:v>
      </x:c>
      <x:c r="F1" s="3" t="str">
        <x:v>Ego 浏览器验证记录</x:v>
      </x:c>
      <x:c r="G1" s="3" t="str">
        <x:v>Ego 浏览器验证记录</x:v>
      </x:c>
      <x:c r="H1" s="3" t="str">
        <x:v>Ego 浏览器验证记录</x:v>
      </x:c>
    </x:row>
    <x:row r="2" ht="34" customHeight="1">
      <x:c r="A2" s="3" t="str">
        <x:v>Ego 浏览器验证记录</x:v>
      </x:c>
      <x:c r="B2" s="3" t="str">
        <x:v>Ego 浏览器验证记录</x:v>
      </x:c>
      <x:c r="C2" s="3" t="str">
        <x:v>Ego 浏览器验证记录</x:v>
      </x:c>
      <x:c r="D2" s="3" t="str">
        <x:v>Ego 浏览器验证记录</x:v>
      </x:c>
      <x:c r="E2" s="3" t="str">
        <x:v>Ego 浏览器验证记录</x:v>
      </x:c>
      <x:c r="F2" s="3" t="str">
        <x:v>Ego 浏览器验证记录</x:v>
      </x:c>
      <x:c r="G2" s="3" t="str">
        <x:v>Ego 浏览器验证记录</x:v>
      </x:c>
      <x:c r="H2" s="3" t="str">
        <x:v>Ego 浏览器验证记录</x:v>
      </x:c>
    </x:row>
    <x:row r="3" ht="30" customHeight="1">
      <x:c r="A3" s="6" t="str">
        <x:v>在独立任务空间中复用浏览器登录态，对上证路演接口、交易所/CNINFO PDF和高影响媒体页面进行回查。 </x:v>
      </x:c>
      <x:c r="B3" s="6" t="str">
        <x:v>在独立任务空间中复用浏览器登录态，对上证路演接口、交易所/CNINFO PDF和高影响媒体页面进行回查。 </x:v>
      </x:c>
      <x:c r="C3" s="6" t="str">
        <x:v>在独立任务空间中复用浏览器登录态，对上证路演接口、交易所/CNINFO PDF和高影响媒体页面进行回查。 </x:v>
      </x:c>
      <x:c r="D3" s="6" t="str">
        <x:v>在独立任务空间中复用浏览器登录态，对上证路演接口、交易所/CNINFO PDF和高影响媒体页面进行回查。 </x:v>
      </x:c>
      <x:c r="E3" s="6" t="str">
        <x:v>在独立任务空间中复用浏览器登录态，对上证路演接口、交易所/CNINFO PDF和高影响媒体页面进行回查。 </x:v>
      </x:c>
      <x:c r="F3" s="6" t="str">
        <x:v>在独立任务空间中复用浏览器登录态，对上证路演接口、交易所/CNINFO PDF和高影响媒体页面进行回查。 </x:v>
      </x:c>
      <x:c r="G3" s="6" t="str">
        <x:v>在独立任务空间中复用浏览器登录态，对上证路演接口、交易所/CNINFO PDF和高影响媒体页面进行回查。 </x:v>
      </x:c>
      <x:c r="H3" s="6" t="str">
        <x:v>在独立任务空间中复用浏览器登录态，对上证路演接口、交易所/CNINFO PDF和高影响媒体页面进行回查。 </x:v>
      </x:c>
    </x:row>
    <x:row r="4" ht="15" hidden="0" customHeight="1">
      <x:c r="A4" s="15" t="str">
        <x:v>验证ID</x:v>
      </x:c>
      <x:c r="B4" s="15" t="str">
        <x:v>来源ID</x:v>
      </x:c>
      <x:c r="C4" s="15" t="str">
        <x:v>验证类型</x:v>
      </x:c>
      <x:c r="D4" s="15" t="str">
        <x:v>状态</x:v>
      </x:c>
      <x:c r="E4" s="15" t="str">
        <x:v>检查时间</x:v>
      </x:c>
      <x:c r="F4" s="15" t="str">
        <x:v>URL</x:v>
      </x:c>
      <x:c r="G4" s="15" t="str">
        <x:v>页面/接口结果</x:v>
      </x:c>
      <x:c r="H4" s="15" t="str">
        <x:v>评分影响</x:v>
      </x:c>
    </x:row>
    <x:row r="5" ht="15" hidden="0" customHeight="1">
      <x:c r="A5" s="19" t="str">
        <x:v>ego-roadshow-34929</x:v>
      </x:c>
      <x:c r="B5" s="19" t="str">
        <x:v>roadshow-34929</x:v>
      </x:c>
      <x:c r="C5" s="19" t="str">
        <x:v>roadshow-answer-count</x:v>
      </x:c>
      <x:c r="D5" s="19" t="str">
        <x:v>confirmed</x:v>
      </x:c>
      <x:c r="E5" s="34" t="n">
        <x:v>46260.32372685185</x:v>
      </x:c>
      <x:c r="F5" s="19" t="str">
        <x:v>https://roadshow.sseinfo.com/webappActivityDetail/34929</x:v>
      </x:c>
      <x:c r="G5" s="19" t="str">
        <x:v>{"apiTotal":24,"managementQaRecords":19,"systemRecords":5}</x:v>
      </x:c>
      <x:c r="H5" s="19" t="str">
        <x:v>补强来源可访问性</x:v>
      </x:c>
    </x:row>
    <x:row r="6" ht="15" hidden="0" customHeight="1">
      <x:c r="A6" s="19" t="str">
        <x:v>ego-roadshow-38704</x:v>
      </x:c>
      <x:c r="B6" s="19" t="str">
        <x:v>roadshow-38704</x:v>
      </x:c>
      <x:c r="C6" s="19" t="str">
        <x:v>roadshow-answer-count</x:v>
      </x:c>
      <x:c r="D6" s="19" t="str">
        <x:v>confirmed</x:v>
      </x:c>
      <x:c r="E6" s="34" t="n">
        <x:v>46260.32372685185</x:v>
      </x:c>
      <x:c r="F6" s="19" t="str">
        <x:v>https://roadshow.sseinfo.com/webappActivityDetail/38704</x:v>
      </x:c>
      <x:c r="G6" s="19" t="str">
        <x:v>{"apiTotal":41,"managementQaRecords":36,"systemRecords":5,"legacyWorkbookClaim":43}</x:v>
      </x:c>
      <x:c r="H6" s="19" t="str">
        <x:v>替代旧版43条口径</x:v>
      </x:c>
    </x:row>
    <x:row r="7" ht="15" hidden="0" customHeight="1">
      <x:c r="A7" s="19" t="str">
        <x:v>ego-roadshow-40262</x:v>
      </x:c>
      <x:c r="B7" s="19" t="str">
        <x:v>roadshow-40262</x:v>
      </x:c>
      <x:c r="C7" s="19" t="str">
        <x:v>roadshow-answer-count</x:v>
      </x:c>
      <x:c r="D7" s="19" t="str">
        <x:v>confirmed</x:v>
      </x:c>
      <x:c r="E7" s="34" t="n">
        <x:v>46260.32372685185</x:v>
      </x:c>
      <x:c r="F7" s="19" t="str">
        <x:v>https://roadshow.sseinfo.com/webappActivityDetail/40262</x:v>
      </x:c>
      <x:c r="G7" s="19" t="str">
        <x:v>{"apiTotal":69,"managementQaRecords":64,"systemRecords":5}</x:v>
      </x:c>
      <x:c r="H7" s="19" t="str">
        <x:v>补强来源可访问性</x:v>
      </x:c>
    </x:row>
    <x:row r="8" ht="15" hidden="0" customHeight="1">
      <x:c r="A8" s="19" t="str">
        <x:v>ego-roadshow-37197</x:v>
      </x:c>
      <x:c r="B8" s="19" t="str">
        <x:v>roadshow-37197</x:v>
      </x:c>
      <x:c r="C8" s="19" t="str">
        <x:v>roadshow-answer-count</x:v>
      </x:c>
      <x:c r="D8" s="19" t="str">
        <x:v>confirmed</x:v>
      </x:c>
      <x:c r="E8" s="34" t="n">
        <x:v>46260.32372685185</x:v>
      </x:c>
      <x:c r="F8" s="19" t="str">
        <x:v>https://roadshow.sseinfo.com/webappActivityDetail/37197</x:v>
      </x:c>
      <x:c r="G8" s="19" t="str">
        <x:v>{"apiTotal":5,"managementQaRecords":3,"systemRecords":2}</x:v>
      </x:c>
      <x:c r="H8" s="19" t="str">
        <x:v>补强来源可访问性</x:v>
      </x:c>
    </x:row>
    <x:row r="9" ht="21.600000381469727" hidden="0" customHeight="1">
      <x:c r="A9" s="19" t="str">
        <x:v>ego-pdf-cam-2025q3</x:v>
      </x:c>
      <x:c r="B9" s="19" t="str">
        <x:v>cam-2025q3</x:v>
      </x:c>
      <x:c r="C9" s="19" t="str">
        <x:v>official-pdf-live</x:v>
      </x:c>
      <x:c r="D9" s="19" t="str">
        <x:v>confirmed</x:v>
      </x:c>
      <x:c r="E9" s="34" t="n">
        <x:v>46260.32372685185</x:v>
      </x:c>
      <x:c r="F9" s="19" t="str">
        <x:v>https://www.sse.com.cn/disclosure/listedinfo/announcement/c/new/2025-10-18/688256_20251018_S0FQ.pdf</x:v>
      </x:c>
      <x:c r="G9" s="19" t="str">
        <x:v>{"finalUrl":"https://static.sse.com.cn/disclosure/listedinfo/announcement/c/new/2025-10-18/688256_20251018_S0FQ.pdf"}</x:v>
      </x:c>
      <x:c r="H9" s="19" t="str">
        <x:v>补强来源可访问性</x:v>
      </x:c>
    </x:row>
    <x:row r="10" ht="21.600000381469727" hidden="0" customHeight="1">
      <x:c r="A10" s="19" t="str">
        <x:v>ego-pdf-cam-2026q1</x:v>
      </x:c>
      <x:c r="B10" s="19" t="str">
        <x:v>cam-2026q1</x:v>
      </x:c>
      <x:c r="C10" s="19" t="str">
        <x:v>official-pdf-live</x:v>
      </x:c>
      <x:c r="D10" s="19" t="str">
        <x:v>confirmed</x:v>
      </x:c>
      <x:c r="E10" s="34" t="n">
        <x:v>46260.32372685185</x:v>
      </x:c>
      <x:c r="F10" s="19" t="str">
        <x:v>https://www.sse.com.cn/disclosure/listedinfo/announcement/c/new/2026-04-30/688256_20260430_I4ZK.pdf</x:v>
      </x:c>
      <x:c r="G10" s="19" t="str">
        <x:v>{"finalUrl":"https://static.sse.com.cn/disclosure/listedinfo/announcement/c/new/2026-04-30/688256_20260430_I4ZK.pdf"}</x:v>
      </x:c>
      <x:c r="H10" s="19" t="str">
        <x:v>补强来源可访问性</x:v>
      </x:c>
    </x:row>
    <x:row r="11" ht="21.600000381469727" hidden="0" customHeight="1">
      <x:c r="A11" s="19" t="str">
        <x:v>ego-pdf-cam-2026h1</x:v>
      </x:c>
      <x:c r="B11" s="19" t="str">
        <x:v>cam-2026h1</x:v>
      </x:c>
      <x:c r="C11" s="19" t="str">
        <x:v>official-pdf-live</x:v>
      </x:c>
      <x:c r="D11" s="19" t="str">
        <x:v>confirmed</x:v>
      </x:c>
      <x:c r="E11" s="34" t="n">
        <x:v>46260.32372685185</x:v>
      </x:c>
      <x:c r="F11" s="19" t="str">
        <x:v>https://www.sse.com.cn/disclosure/listedinfo/announcement/c/new/2026-08-08/688256_20260808_TUNG.pdf</x:v>
      </x:c>
      <x:c r="G11" s="19" t="str">
        <x:v>{"finalUrl":"https://static.sse.com.cn/disclosure/listedinfo/announcement/c/new/2026-08-08/688256_20260808_TUNG.pdf"}</x:v>
      </x:c>
      <x:c r="H11" s="19" t="str">
        <x:v>补强来源可访问性</x:v>
      </x:c>
    </x:row>
    <x:row r="12" ht="21.600000381469727" hidden="0" customHeight="1">
      <x:c r="A12" s="19" t="str">
        <x:v>ego-pdf-baili-2025h1</x:v>
      </x:c>
      <x:c r="B12" s="19" t="str">
        <x:v>baili-2025h1</x:v>
      </x:c>
      <x:c r="C12" s="19" t="str">
        <x:v>official-pdf-live</x:v>
      </x:c>
      <x:c r="D12" s="19" t="str">
        <x:v>confirmed</x:v>
      </x:c>
      <x:c r="E12" s="34" t="n">
        <x:v>46260.32372685185</x:v>
      </x:c>
      <x:c r="F12" s="19" t="str">
        <x:v>https://www.sse.com.cn/disclosure/listedinfo/announcement/c/new/2025-08-20/688506_20250820_1WDV.pdf</x:v>
      </x:c>
      <x:c r="G12" s="19" t="str">
        <x:v>{"finalUrl":"https://static.sse.com.cn/disclosure/listedinfo/announcement/c/new/2025-08-20/688506_20250820_1WDV.pdf"}</x:v>
      </x:c>
      <x:c r="H12" s="19" t="str">
        <x:v>补强来源可访问性</x:v>
      </x:c>
    </x:row>
    <x:row r="13" ht="15" hidden="0" customHeight="1">
      <x:c r="A13" s="19" t="str">
        <x:v>ego-repair-cam-2025a</x:v>
      </x:c>
      <x:c r="B13" s="19" t="str">
        <x:v>cam-2025a</x:v>
      </x:c>
      <x:c r="C13" s="19" t="str">
        <x:v>missing-url-repair</x:v>
      </x:c>
      <x:c r="D13" s="19" t="str">
        <x:v>confirmed</x:v>
      </x:c>
      <x:c r="E13" s="34" t="n">
        <x:v>46260.32372685185</x:v>
      </x:c>
      <x:c r="F13" s="19" t="str">
        <x:v>https://static.cninfo.com.cn/finalpage/2026-03-13/1225007336.PDF</x:v>
      </x:c>
      <x:c r="G13" s="19" t="str">
        <x:v>{"title":"中科寒武纪科技股份有限公司2025年年度报告"}</x:v>
      </x:c>
      <x:c r="H13" s="19" t="str">
        <x:v>补强来源可访问性</x:v>
      </x:c>
    </x:row>
    <x:row r="14" ht="15" hidden="0" customHeight="1">
      <x:c r="A14" s="19" t="str">
        <x:v>ego-repair-baili-2025a</x:v>
      </x:c>
      <x:c r="B14" s="19" t="str">
        <x:v>baili-2025a</x:v>
      </x:c>
      <x:c r="C14" s="19" t="str">
        <x:v>missing-url-repair</x:v>
      </x:c>
      <x:c r="D14" s="19" t="str">
        <x:v>confirmed</x:v>
      </x:c>
      <x:c r="E14" s="34" t="n">
        <x:v>46260.32372685185</x:v>
      </x:c>
      <x:c r="F14" s="19" t="str">
        <x:v>https://static.cninfo.com.cn/finalpage/2026-04-28/1225217117.PDF</x:v>
      </x:c>
      <x:c r="G14" s="19" t="str">
        <x:v>{"title":"四川百利天恒药业股份有限公司2025年年度报告"}</x:v>
      </x:c>
      <x:c r="H14" s="19" t="str">
        <x:v>补强来源可访问性</x:v>
      </x:c>
    </x:row>
    <x:row r="15" ht="15" hidden="0" customHeight="1">
      <x:c r="A15" s="19" t="str">
        <x:v>ego-repair-left-2021a</x:v>
      </x:c>
      <x:c r="B15" s="19" t="str">
        <x:v>left-2021a</x:v>
      </x:c>
      <x:c r="C15" s="19" t="str">
        <x:v>missing-url-repair</x:v>
      </x:c>
      <x:c r="D15" s="19" t="str">
        <x:v>confirmed</x:v>
      </x:c>
      <x:c r="E15" s="34" t="n">
        <x:v>46260.32372685185</x:v>
      </x:c>
      <x:c r="F15" s="19" t="str">
        <x:v>https://static.cninfo.com.cn/finalpage/2022-04-28/1213167893.PDF</x:v>
      </x:c>
      <x:c r="G15" s="19" t="str">
        <x:v>{"title":"北京左江科技股份有限公司2021年年度报告全文"}</x:v>
      </x:c>
      <x:c r="H15" s="19" t="str">
        <x:v>补强来源可访问性</x:v>
      </x:c>
    </x:row>
    <x:row r="16" ht="15" hidden="0" customHeight="1">
      <x:c r="A16" s="19" t="str">
        <x:v>ego-repair-left-2023h1</x:v>
      </x:c>
      <x:c r="B16" s="19" t="str">
        <x:v>left-2023h1</x:v>
      </x:c>
      <x:c r="C16" s="19" t="str">
        <x:v>missing-url-repair</x:v>
      </x:c>
      <x:c r="D16" s="19" t="str">
        <x:v>confirmed</x:v>
      </x:c>
      <x:c r="E16" s="34" t="n">
        <x:v>46260.32372685185</x:v>
      </x:c>
      <x:c r="F16" s="19" t="str">
        <x:v>https://static.cninfo.com.cn/finalpage/2023-08-29/1217680253.PDF</x:v>
      </x:c>
      <x:c r="G16" s="19" t="str">
        <x:v>{"title":"北京左江科技股份有限公司2023年半年度报告"}</x:v>
      </x:c>
      <x:c r="H16" s="19" t="str">
        <x:v>补强来源可访问性</x:v>
      </x:c>
    </x:row>
    <x:row r="17" ht="15" hidden="0" customHeight="1">
      <x:c r="A17" s="19" t="str">
        <x:v>ego-repair-left-2023q3</x:v>
      </x:c>
      <x:c r="B17" s="19" t="str">
        <x:v>left-2023q3</x:v>
      </x:c>
      <x:c r="C17" s="19" t="str">
        <x:v>missing-url-repair</x:v>
      </x:c>
      <x:c r="D17" s="19" t="str">
        <x:v>confirmed</x:v>
      </x:c>
      <x:c r="E17" s="34" t="n">
        <x:v>46260.32372685185</x:v>
      </x:c>
      <x:c r="F17" s="19" t="str">
        <x:v>https://static.cninfo.com.cn/finalpage/2023-10-25/1218138997.PDF</x:v>
      </x:c>
      <x:c r="G17" s="19" t="str">
        <x:v>{"title":"北京左江科技股份有限公司2023年第三季度报告"}</x:v>
      </x:c>
      <x:c r="H17" s="19" t="str">
        <x:v>补强来源可访问性</x:v>
      </x:c>
    </x:row>
    <x:row r="18" ht="21.600000381469727" hidden="0" customHeight="1">
      <x:c r="A18" s="19" t="str">
        <x:v>ego-repair-baili-bms</x:v>
      </x:c>
      <x:c r="B18" s="19" t="str">
        <x:v>baili-bms</x:v>
      </x:c>
      <x:c r="C18" s="19" t="str">
        <x:v>missing-url-repair</x:v>
      </x:c>
      <x:c r="D18" s="19" t="str">
        <x:v>confirmed</x:v>
      </x:c>
      <x:c r="E18" s="34" t="n">
        <x:v>46260.32372685185</x:v>
      </x:c>
      <x:c r="F18" s="19" t="str">
        <x:v>https://news.bms.com/news/details/2023/SystImmune-and-Bristol-Myers-Squibb-Announce-a-Global-Strategic-Collaboration-Agreement-for-the-Development-and-Commercialization-of-BL-B01D1/default.aspx</x:v>
      </x:c>
      <x:c r="G18" s="19" t="str">
        <x:v>{"title":"SystImmune and Bristol Myers Squibb Announce a Global Strategic Collaboration Agreement for BL-B01D1"}</x:v>
      </x:c>
      <x:c r="H18" s="19" t="str">
        <x:v>补强来源可访问性</x:v>
      </x:c>
    </x:row>
    <x:row r="19" ht="15" hidden="0" customHeight="1">
      <x:c r="A19" s="19" t="str">
        <x:v>ego-media-cam-d65a9b</x:v>
      </x:c>
      <x:c r="B19" s="19" t="str">
        <x:v>media-cambricon-d65a9bcc4d0a</x:v>
      </x:c>
      <x:c r="C19" s="19" t="str">
        <x:v>article-live</x:v>
      </x:c>
      <x:c r="D19" s="19" t="str">
        <x:v>confirmed</x:v>
      </x:c>
      <x:c r="E19" s="34" t="n">
        <x:v>46260.32372685185</x:v>
      </x:c>
      <x:c r="F19" s="19" t="str">
        <x:v>https://www.p5w.net/roll/company/202603/t20260313_6442208.htm</x:v>
      </x:c>
      <x:c r="G19" s="19" t="str">
        <x:v>{"title":"寒武纪首次年度盈利 营收同比增453%","responseLength":8707}</x:v>
      </x:c>
      <x:c r="H19" s="19" t="str">
        <x:v>确认页面存在；重复计数仍无效</x:v>
      </x:c>
    </x:row>
    <x:row r="20" ht="15" hidden="0" customHeight="1">
      <x:c r="A20" s="19" t="str">
        <x:v>ego-media-cam-af4426</x:v>
      </x:c>
      <x:c r="B20" s="19" t="str">
        <x:v>media-cambricon-af44268d9c7f</x:v>
      </x:c>
      <x:c r="C20" s="19" t="str">
        <x:v>article-live</x:v>
      </x:c>
      <x:c r="D20" s="19" t="str">
        <x:v>confirmed</x:v>
      </x:c>
      <x:c r="E20" s="34" t="n">
        <x:v>46260.32372685185</x:v>
      </x:c>
      <x:c r="F20" s="19" t="str">
        <x:v>https://www.p5w.net/roll/company/202509/t20250901_6393127.htm</x:v>
      </x:c>
      <x:c r="G20" s="19" t="str">
        <x:v>{"title":"2104元！“高盛”强CALL，寒武纪目标价再度被拔高！是否存在风险？","responseLength":9458}</x:v>
      </x:c>
      <x:c r="H20" s="19" t="str">
        <x:v>确认页面存在；重复计数仍无效</x:v>
      </x:c>
    </x:row>
    <x:row r="21" ht="15" hidden="0" customHeight="1">
      <x:c r="A21" s="19" t="str">
        <x:v>ego-media-cam-8bc149</x:v>
      </x:c>
      <x:c r="B21" s="19" t="str">
        <x:v>media-cambricon-8bc149f0481b</x:v>
      </x:c>
      <x:c r="C21" s="19" t="str">
        <x:v>article-live</x:v>
      </x:c>
      <x:c r="D21" s="19" t="str">
        <x:v>confirmed</x:v>
      </x:c>
      <x:c r="E21" s="34" t="n">
        <x:v>46260.32372685185</x:v>
      </x:c>
      <x:c r="F21" s="19" t="str">
        <x:v>https://www.p5w.net/roll/company/202508/t20250827_6389625.htm</x:v>
      </x:c>
      <x:c r="G21" s="19" t="str">
        <x:v>{"title":"寒武纪上半年业绩爆发：营收增长43倍 净利超10亿元","responseLength":8537}</x:v>
      </x:c>
      <x:c r="H21" s="19" t="str">
        <x:v>确认页面存在；重复计数仍无效</x:v>
      </x:c>
    </x:row>
    <x:row r="22" ht="15" hidden="0" customHeight="1">
      <x:c r="A22" s="19" t="str">
        <x:v>ego-media-baili-196b1e</x:v>
      </x:c>
      <x:c r="B22" s="19" t="str">
        <x:v>media-bailitannheng-196b1e750bf8</x:v>
      </x:c>
      <x:c r="C22" s="19" t="str">
        <x:v>article-live</x:v>
      </x:c>
      <x:c r="D22" s="19" t="str">
        <x:v>confirmed</x:v>
      </x:c>
      <x:c r="E22" s="34" t="n">
        <x:v>46260.32372685185</x:v>
      </x:c>
      <x:c r="F22" s="19" t="str">
        <x:v>https://www.p5w.net/roll/lanjinger/202608/t20260807_6491722.htm</x:v>
      </x:c>
      <x:c r="G22" s="19" t="str">
        <x:v>{"title":"百利天恒四度递表港交所，去年IPO临门一脚“刹车”后再闯关","responseLength":8988}</x:v>
      </x:c>
      <x:c r="H22" s="19" t="str">
        <x:v>补强来源可访问性</x:v>
      </x:c>
    </x:row>
  </x:sheetData>
  <x:mergeCells>
    <x:mergeCell ref="A1:H2"/>
    <x:mergeCell ref="A3:H3"/>
  </x:mergeCells>
  <x:conditionalFormatting sqref="D5:D22">
    <x:cfRule type="containsText" dxfId="14" priority="1" operator="containsText" text="confirmed"/>
  </x:conditionalFormatting>
  <x:pageMargins left="0.7" right="0.7" top="0.75" bottom="0.75" header="0.3" footer="0.3"/>
  <x:tableParts count="1">
    <x:tablePart xmlns:r="http://schemas.openxmlformats.org/officeDocument/2006/relationships" r:id="Rf0b930cb5a7946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24" hidden="0" customWidth="1"/>
    <x:col min="4" max="4" width="76" hidden="0" customWidth="1"/>
    <x:col min="5" max="5" width="24" hidden="0" customWidth="1"/>
    <x:col min="6" max="6" width="76" hidden="0" customWidth="1"/>
    <x:col min="7" max="7" width="24" hidden="0" customWidth="1"/>
    <x:col min="8" max="8" width="76" hidden="0" customWidth="1"/>
  </x:cols>
  <x:sheetData>
    <x:row r="1" ht="34" customHeight="1">
      <x:c r="A1" s="3" t="str">
        <x:v>PostgreSQL 导入与回读校验</x:v>
      </x:c>
      <x:c r="B1" s="3" t="str">
        <x:v>PostgreSQL 导入与回读校验</x:v>
      </x:c>
      <x:c r="C1" s="3" t="str">
        <x:v>PostgreSQL 导入与回读校验</x:v>
      </x:c>
      <x:c r="D1" s="3" t="str">
        <x:v>PostgreSQL 导入与回读校验</x:v>
      </x:c>
      <x:c r="E1" s="3" t="str">
        <x:v>PostgreSQL 导入与回读校验</x:v>
      </x:c>
      <x:c r="F1" s="3" t="str">
        <x:v>PostgreSQL 导入与回读校验</x:v>
      </x:c>
      <x:c r="G1" s="3" t="str">
        <x:v>PostgreSQL 导入与回读校验</x:v>
      </x:c>
      <x:c r="H1" s="3" t="str">
        <x:v>PostgreSQL 导入与回读校验</x:v>
      </x:c>
    </x:row>
    <x:row r="2" ht="34" customHeight="1">
      <x:c r="A2" s="3" t="str">
        <x:v>PostgreSQL 导入与回读校验</x:v>
      </x:c>
      <x:c r="B2" s="3" t="str">
        <x:v>PostgreSQL 导入与回读校验</x:v>
      </x:c>
      <x:c r="C2" s="3" t="str">
        <x:v>PostgreSQL 导入与回读校验</x:v>
      </x:c>
      <x:c r="D2" s="3" t="str">
        <x:v>PostgreSQL 导入与回读校验</x:v>
      </x:c>
      <x:c r="E2" s="3" t="str">
        <x:v>PostgreSQL 导入与回读校验</x:v>
      </x:c>
      <x:c r="F2" s="3" t="str">
        <x:v>PostgreSQL 导入与回读校验</x:v>
      </x:c>
      <x:c r="G2" s="3" t="str">
        <x:v>PostgreSQL 导入与回读校验</x:v>
      </x:c>
      <x:c r="H2" s="3" t="str">
        <x:v>PostgreSQL 导入与回读校验</x:v>
      </x:c>
    </x:row>
    <x:row r="3" ht="30" customHeight="1">
      <x:c r="A3" s="6" t="str">
        <x:v>独立schema narrative_risk；不向risk_data快照表追加对象。导入在事务中完成，按自然键upsert；相同payload重复执行不会增加行数。 </x:v>
      </x:c>
      <x:c r="B3" s="6" t="str">
        <x:v>独立schema narrative_risk；不向risk_data快照表追加对象。导入在事务中完成，按自然键upsert；相同payload重复执行不会增加行数。 </x:v>
      </x:c>
      <x:c r="C3" s="6" t="str">
        <x:v>独立schema narrative_risk；不向risk_data快照表追加对象。导入在事务中完成，按自然键upsert；相同payload重复执行不会增加行数。 </x:v>
      </x:c>
      <x:c r="D3" s="6" t="str">
        <x:v>独立schema narrative_risk；不向risk_data快照表追加对象。导入在事务中完成，按自然键upsert；相同payload重复执行不会增加行数。 </x:v>
      </x:c>
      <x:c r="E3" s="6" t="str">
        <x:v>独立schema narrative_risk；不向risk_data快照表追加对象。导入在事务中完成，按自然键upsert；相同payload重复执行不会增加行数。 </x:v>
      </x:c>
      <x:c r="F3" s="6" t="str">
        <x:v>独立schema narrative_risk；不向risk_data快照表追加对象。导入在事务中完成，按自然键upsert；相同payload重复执行不会增加行数。 </x:v>
      </x:c>
      <x:c r="G3" s="6" t="str">
        <x:v>独立schema narrative_risk；不向risk_data快照表追加对象。导入在事务中完成，按自然键upsert；相同payload重复执行不会增加行数。 </x:v>
      </x:c>
      <x:c r="H3" s="6" t="str">
        <x:v>独立schema narrative_risk；不向risk_data快照表追加对象。导入在事务中完成，按自然键upsert；相同payload重复执行不会增加行数。 </x:v>
      </x:c>
    </x:row>
    <x:row r="4" ht="15" hidden="0" customHeight="1">
      <x:c r="A4" s="15" t="str">
        <x:v>对象</x:v>
      </x:c>
      <x:c r="B4" s="15" t="str">
        <x:v>预期</x:v>
      </x:c>
      <x:c r="C4" s="15" t="str">
        <x:v>实际</x:v>
      </x:c>
      <x:c r="D4" s="15" t="str">
        <x:v>校验</x:v>
      </x:c>
      <x:c r="E4" s="15" t="str">
        <x:v>对象</x:v>
      </x:c>
      <x:c r="F4" s="15" t="str">
        <x:v>预期</x:v>
      </x:c>
      <x:c r="G4" s="15" t="str">
        <x:v>实际</x:v>
      </x:c>
      <x:c r="H4" s="15" t="str">
        <x:v>校验</x:v>
      </x:c>
    </x:row>
    <x:row r="5" ht="15" hidden="0" customHeight="1">
      <x:c r="A5" s="19" t="str">
        <x:v>scopes</x:v>
      </x:c>
      <x:c r="B5" s="19" t="n">
        <x:v>2</x:v>
      </x:c>
      <x:c r="C5" s="19" t="n">
        <x:v>2</x:v>
      </x:c>
      <x:c r="D5" s="19" t="str">
        <x:f>IF(B5=C5,"通过","异常")</x:f>
        <x:v>通过</x:v>
      </x:c>
      <x:c r="E5" s="19" t="str">
        <x:v>companies</x:v>
      </x:c>
      <x:c r="F5" s="19" t="n">
        <x:v>7</x:v>
      </x:c>
      <x:c r="G5" s="19" t="n">
        <x:v>7</x:v>
      </x:c>
      <x:c r="H5" s="19" t="str">
        <x:f>IF(F5=G5,"通过","异常")</x:f>
        <x:v>通过</x:v>
      </x:c>
    </x:row>
    <x:row r="6" ht="15" hidden="0" customHeight="1">
      <x:c r="A6" s="19" t="str">
        <x:v>scope_companies</x:v>
      </x:c>
      <x:c r="B6" s="19" t="n">
        <x:v>8</x:v>
      </x:c>
      <x:c r="C6" s="19" t="n">
        <x:v>8</x:v>
      </x:c>
      <x:c r="D6" s="19" t="str">
        <x:f>IF(B6=C6,"通过","异常")</x:f>
        <x:v>通过</x:v>
      </x:c>
      <x:c r="E6" s="19" t="str">
        <x:v>assessments</x:v>
      </x:c>
      <x:c r="F6" s="19" t="n">
        <x:v>8</x:v>
      </x:c>
      <x:c r="G6" s="19" t="n">
        <x:v>8</x:v>
      </x:c>
      <x:c r="H6" s="19" t="str">
        <x:f>IF(F6=G6,"通过","异常")</x:f>
        <x:v>通过</x:v>
      </x:c>
    </x:row>
    <x:row r="7" ht="15" hidden="0" customHeight="1">
      <x:c r="A7" s="19" t="str">
        <x:v>sources</x:v>
      </x:c>
      <x:c r="B7" s="19" t="n">
        <x:v>542</x:v>
      </x:c>
      <x:c r="C7" s="19" t="n">
        <x:v>542</x:v>
      </x:c>
      <x:c r="D7" s="19" t="str">
        <x:f>IF(B7=C7,"通过","异常")</x:f>
        <x:v>通过</x:v>
      </x:c>
      <x:c r="E7" s="19" t="str">
        <x:v>metrics</x:v>
      </x:c>
      <x:c r="F7" s="19" t="n">
        <x:v>111</x:v>
      </x:c>
      <x:c r="G7" s="19" t="n">
        <x:v>111</x:v>
      </x:c>
      <x:c r="H7" s="19" t="str">
        <x:f>IF(F7=G7,"通过","异常")</x:f>
        <x:v>通过</x:v>
      </x:c>
    </x:row>
    <x:row r="8" ht="15" hidden="0" customHeight="1">
      <x:c r="A8" s="19" t="str">
        <x:v>metric_source_links</x:v>
      </x:c>
      <x:c r="B8" s="19" t="n">
        <x:v>161</x:v>
      </x:c>
      <x:c r="C8" s="19" t="n">
        <x:v>161</x:v>
      </x:c>
      <x:c r="D8" s="19" t="str">
        <x:f>IF(B8=C8,"通过","异常")</x:f>
        <x:v>通过</x:v>
      </x:c>
      <x:c r="E8" s="19" t="str">
        <x:v>coverage</x:v>
      </x:c>
      <x:c r="F8" s="19" t="n">
        <x:v>16</x:v>
      </x:c>
      <x:c r="G8" s="19" t="n">
        <x:v>16</x:v>
      </x:c>
      <x:c r="H8" s="19" t="str">
        <x:f>IF(F8=G8,"通过","异常")</x:f>
        <x:v>通过</x:v>
      </x:c>
    </x:row>
    <x:row r="9" ht="15" hidden="0" customHeight="1">
      <x:c r="A9" s="19" t="str">
        <x:v>events</x:v>
      </x:c>
      <x:c r="B9" s="19" t="n">
        <x:v>11</x:v>
      </x:c>
      <x:c r="C9" s="19" t="n">
        <x:v>11</x:v>
      </x:c>
      <x:c r="D9" s="19" t="str">
        <x:f>IF(B9=C9,"通过","异常")</x:f>
        <x:v>通过</x:v>
      </x:c>
      <x:c r="E9" s="19" t="str">
        <x:v>audit_findings</x:v>
      </x:c>
      <x:c r="F9" s="19" t="n">
        <x:v>7</x:v>
      </x:c>
      <x:c r="G9" s="19" t="n">
        <x:v>7</x:v>
      </x:c>
      <x:c r="H9" s="19" t="str">
        <x:f>IF(F9=G9,"通过","异常")</x:f>
        <x:v>通过</x:v>
      </x:c>
    </x:row>
    <x:row r="10" ht="15" hidden="0" customHeight="1">
      <x:c r="A10" s="19" t="str">
        <x:v>browser_validations</x:v>
      </x:c>
      <x:c r="B10" s="19" t="n">
        <x:v>18</x:v>
      </x:c>
      <x:c r="C10" s="19" t="n">
        <x:v>18</x:v>
      </x:c>
      <x:c r="D10" s="19" t="str">
        <x:f>IF(B10=C10,"通过","异常")</x:f>
        <x:v>通过</x:v>
      </x:c>
      <x:c r="E10" s="19" t="str">
        <x:v>duplicate_source_groups</x:v>
      </x:c>
      <x:c r="F10" s="19" t="n">
        <x:v>3</x:v>
      </x:c>
      <x:c r="G10" s="19" t="n">
        <x:v>3</x:v>
      </x:c>
      <x:c r="H10" s="19" t="str">
        <x:f>IF(F10=G10,"通过","异常")</x:f>
        <x:v>通过</x:v>
      </x:c>
    </x:row>
    <x:row r="11" ht="15" hidden="0" customHeight="1">
      <x:c r="A11" s="19" t="str">
        <x:v>invalidated_metrics</x:v>
      </x:c>
      <x:c r="B11" s="19" t="n">
        <x:v>2</x:v>
      </x:c>
      <x:c r="C11" s="19" t="n">
        <x:v>2</x:v>
      </x:c>
      <x:c r="D11" s="19" t="str">
        <x:f>IF(B11=C11,"通过","异常")</x:f>
        <x:v>通过</x:v>
      </x:c>
      <x:c r="E11" s="19" t="str">
        <x:v>formal_pdqi_missing</x:v>
      </x:c>
      <x:c r="F11" s="19" t="n">
        <x:v>3</x:v>
      </x:c>
      <x:c r="G11" s="19" t="n">
        <x:v>3</x:v>
      </x:c>
      <x:c r="H11" s="19" t="str">
        <x:f>IF(F11=G11,"通过","异常")</x:f>
        <x:v>通过</x:v>
      </x:c>
    </x:row>
    <x:row r="12"/>
    <x:row r="13" ht="15" hidden="0" customHeight="1">
      <x:c r="A13" s="9" t="str">
        <x:v>运行与数据库环境</x:v>
      </x:c>
      <x:c r="B13" s="9" t="str">
        <x:v>运行与数据库环境</x:v>
      </x:c>
      <x:c r="C13" s="9" t="str">
        <x:v>运行与数据库环境</x:v>
      </x:c>
      <x:c r="D13" s="9" t="str">
        <x:v>运行与数据库环境</x:v>
      </x:c>
      <x:c r="E13" s="9" t="str">
        <x:v>运行与数据库环境</x:v>
      </x:c>
      <x:c r="F13" s="9" t="str">
        <x:v>运行与数据库环境</x:v>
      </x:c>
      <x:c r="G13" s="9" t="str">
        <x:v>运行与数据库环境</x:v>
      </x:c>
      <x:c r="H13" s="9" t="str">
        <x:v>运行与数据库环境</x:v>
      </x:c>
    </x:row>
    <x:row r="14" ht="15" hidden="0" customHeight="1">
      <x:c r="A14" s="19" t="str">
        <x:v>Run ID</x:v>
      </x:c>
      <x:c r="B14" s="19" t="str">
        <x:v>narrative-risk-integrated-20260826-v1</x:v>
      </x:c>
      <x:c r="C14" s="19" t="str">
        <x:v>Payload SHA256</x:v>
      </x:c>
      <x:c r="D14" s="19" t="str">
        <x:v>6faf13d64c661acc95c4c1d8a9d8b4ff08514930a1c641e33e0a5d4cb80762fe</x:v>
      </x:c>
      <x:c r="E14" s="19" t="str">
        <x:v>Schema</x:v>
      </x:c>
      <x:c r="F14" s="19" t="str">
        <x:v>narrative_risk</x:v>
      </x:c>
      <x:c r="G14" s="19" t="str">
        <x:v>迁移</x:v>
      </x:c>
      <x:c r="H14" s="19" t="str">
        <x:v>002_narrative_risk.sql</x:v>
      </x:c>
    </x:row>
    <x:row r="15" ht="15" hidden="0" customHeight="1">
      <x:c r="A15" s="19" t="str">
        <x:v>数据库</x:v>
      </x:c>
      <x:c r="B15" s="19" t="str">
        <x:v>kechuang_risk</x:v>
      </x:c>
      <x:c r="C15" s="19" t="str">
        <x:v>PostgreSQL</x:v>
      </x:c>
      <x:c r="D15" s="19" t="str">
        <x:v>18.6</x:v>
      </x:c>
      <x:c r="E15" s="19" t="str">
        <x:v>risk_data版本</x:v>
      </x:c>
      <x:c r="F15" s="19" t="str">
        <x:v>2026-08-20-r01-r22-master-v1</x:v>
      </x:c>
      <x:c r="G15" s="19" t="str">
        <x:v>导入状态</x:v>
      </x:c>
      <x:c r="H15" s="19" t="str">
        <x:v>succeeded</x:v>
      </x:c>
    </x:row>
    <x:row r="16" ht="15" hidden="0" customHeight="1">
      <x:c r="A16" s="19" t="str">
        <x:v>risk_data表</x:v>
      </x:c>
      <x:c r="B16" s="19" t="n">
        <x:v>35</x:v>
      </x:c>
      <x:c r="C16" s="19" t="str">
        <x:v>risk_data视图</x:v>
      </x:c>
      <x:c r="D16" s="19" t="n">
        <x:v>3</x:v>
      </x:c>
      <x:c r="E16" s="19" t="str">
        <x:v>外键</x:v>
      </x:c>
      <x:c r="F16" s="19" t="n">
        <x:v>44</x:v>
      </x:c>
      <x:c r="G16" s="19" t="str">
        <x:v>快照校验</x:v>
      </x:c>
      <x:c r="H16" s="19" t="str">
        <x:v>通过</x:v>
      </x:c>
    </x:row>
    <x:row r="17" ht="15" hidden="0" customHeight="1">
      <x:c r="A17" s="19" t="str">
        <x:v>首次迁移</x:v>
      </x:c>
      <x:c r="B17" s="19" t="str">
        <x:v>applied=true</x:v>
      </x:c>
      <x:c r="C17" s="19" t="str">
        <x:v>重复导入</x:v>
      </x:c>
      <x:c r="D17" s="19" t="str">
        <x:v>applied=false</x:v>
      </x:c>
      <x:c r="E17" s="19" t="str">
        <x:v>幂等计数</x:v>
      </x:c>
      <x:c r="F17" s="19" t="str">
        <x:v>不增长</x:v>
      </x:c>
      <x:c r="G17" s="19" t="str">
        <x:v>事务</x:v>
      </x:c>
      <x:c r="H17" s="19" t="str">
        <x:v>已提交</x:v>
      </x:c>
    </x:row>
    <x:row r="18" ht="15" hidden="0" customHeight="1">
      <x:c r="A18" s="19" t="str">
        <x:v>Ego任务空间</x:v>
      </x:c>
      <x:c r="B18" s="19" t="n">
        <x:v>9</x:v>
      </x:c>
      <x:c r="C18" s="19" t="str">
        <x:v>验证记录</x:v>
      </x:c>
      <x:c r="D18" s="19" t="n">
        <x:v>18</x:v>
      </x:c>
      <x:c r="E18" s="19" t="str">
        <x:v>本地证据包</x:v>
      </x:c>
      <x:c r="F18" s="19" t="str">
        <x:v>未提供</x:v>
      </x:c>
      <x:c r="G18" s="19" t="str">
        <x:v>结论</x:v>
      </x:c>
      <x:c r="H18" s="19" t="str">
        <x:v>条件验证</x:v>
      </x:c>
    </x:row>
    <x:row r="19"/>
    <x:row r="20" ht="15" hidden="0" customHeight="1">
      <x:c r="A20" s="9" t="str">
        <x:v>常用查询（只读）</x:v>
      </x:c>
      <x:c r="B20" s="9" t="str">
        <x:v>常用查询（只读）</x:v>
      </x:c>
      <x:c r="C20" s="9" t="str">
        <x:v>常用查询（只读）</x:v>
      </x:c>
      <x:c r="D20" s="9" t="str">
        <x:v>常用查询（只读）</x:v>
      </x:c>
      <x:c r="E20" s="9" t="str">
        <x:v>常用查询（只读）</x:v>
      </x:c>
      <x:c r="F20" s="9" t="str">
        <x:v>常用查询（只读）</x:v>
      </x:c>
      <x:c r="G20" s="9" t="str">
        <x:v>常用查询（只读）</x:v>
      </x:c>
      <x:c r="H20" s="9" t="str">
        <x:v>常用查询（只读）</x:v>
      </x:c>
    </x:row>
    <x:row r="21" ht="15" hidden="0" customHeight="1">
      <x:c r="A21" s="27" t="str">
        <x:v>用途</x:v>
      </x:c>
      <x:c r="B21" s="27" t="str">
        <x:v>SQL</x:v>
      </x:c>
      <x:c r="C21" s="27" t="str">
        <x:v>用途</x:v>
      </x:c>
      <x:c r="D21" s="27" t="str">
        <x:v>SQL</x:v>
      </x:c>
      <x:c r="E21" s="27" t="str">
        <x:v>用途</x:v>
      </x:c>
      <x:c r="F21" s="27" t="str">
        <x:v>SQL</x:v>
      </x:c>
      <x:c r="G21" s="27" t="str">
        <x:v>用途</x:v>
      </x:c>
      <x:c r="H21" s="27" t="str">
        <x:v>SQL</x:v>
      </x:c>
    </x:row>
    <x:row r="22" ht="15" hidden="0" customHeight="1">
      <x:c r="A22" s="19" t="str">
        <x:v>总览</x:v>
      </x:c>
      <x:c r="B22" s="19" t="str">
        <x:v>SELECT * FROM narrative_risk.v_company_assessment_snapshot;</x:v>
      </x:c>
      <x:c r="C22" s="19" t="str">
        <x:v>审计发现</x:v>
      </x:c>
      <x:c r="D22" s="19" t="str">
        <x:v>SELECT * FROM narrative_risk.audit_findings ORDER BY severity,status;</x:v>
      </x:c>
      <x:c r="E22" s="19" t="str">
        <x:v>无效化指标</x:v>
      </x:c>
      <x:c r="F22" s="19" t="str">
        <x:v>SELECT * FROM narrative_risk.metrics WHERE validated_numeric_value IS NULL AND raw_numeric_value IS NOT NULL;</x:v>
      </x:c>
      <x:c r="G22" s="19" t="str">
        <x:v>Ego记录</x:v>
      </x:c>
      <x:c r="H22" s="19" t="str">
        <x:v>SELECT * FROM narrative_risk.browser_validations;</x:v>
      </x:c>
    </x:row>
    <x:row r="23" ht="21.600000381469727" hidden="0" customHeight="1">
      <x:c r="A23" s="19" t="str">
        <x:v>寒武纪版本</x:v>
      </x:c>
      <x:c r="B23" s="19" t="str">
        <x:v>SELECT metric_name,metric_variant,raw_numeric_value,validated_numeric_value FROM narrative_risk.metrics WHERE company_key='cambricon';</x:v>
      </x:c>
      <x:c r="C23" s="19" t="str">
        <x:v>重复来源</x:v>
      </x:c>
      <x:c r="D23" s="19" t="str">
        <x:v>SELECT source_id,raw_occurrence_count FROM narrative_risk.sources WHERE raw_occurrence_count&gt;1;</x:v>
      </x:c>
      <x:c r="E23" s="19" t="str">
        <x:v>覆盖</x:v>
      </x:c>
      <x:c r="F23" s="19" t="str">
        <x:v>SELECT * FROM narrative_risk.coverage;</x:v>
      </x:c>
      <x:c r="G23" s="19" t="str">
        <x:v>事件</x:v>
      </x:c>
      <x:c r="H23" s="19" t="str">
        <x:v>SELECT * FROM narrative_risk.events;</x:v>
      </x:c>
    </x:row>
    <x:row r="24" ht="15" hidden="0" customHeight="1">
      <x:c r="A24" s="19" t="str">
        <x:v>来源追溯</x:v>
      </x:c>
      <x:c r="B24" s="19" t="str">
        <x:v>SELECT * FROM narrative_risk.metric_source_links WHERE metric_id=$1;</x:v>
      </x:c>
      <x:c r="C24" s="19" t="str">
        <x:v>运行</x:v>
      </x:c>
      <x:c r="D24" s="19" t="str">
        <x:v>SELECT * FROM narrative_risk.import_runs;</x:v>
      </x:c>
      <x:c r="E24" s="19" t="str">
        <x:v>范围</x:v>
      </x:c>
      <x:c r="F24" s="19" t="str">
        <x:v>SELECT * FROM narrative_risk.scopes;</x:v>
      </x:c>
      <x:c r="G24" s="19" t="str">
        <x:v>公司</x:v>
      </x:c>
      <x:c r="H24" s="19" t="str">
        <x:v>SELECT * FROM narrative_risk.companies;</x:v>
      </x:c>
    </x:row>
    <x:row r="25" ht="15" hidden="0" customHeight="1">
      <x:c r="A25" s="19" t="str">
        <x:v>说明</x:v>
      </x:c>
      <x:c r="B25" s="19" t="str">
        <x:v>所有查询均为示例只读语句。</x:v>
      </x:c>
      <x:c r="C25" s="19" t="str">
        <x:v>说明</x:v>
      </x:c>
      <x:c r="D25" s="19" t="str">
        <x:v>正式PDQI和PDQI-lite按variant分开。</x:v>
      </x:c>
      <x:c r="E25" s="19" t="str">
        <x:v>说明</x:v>
      </x:c>
      <x:c r="F25" s="19" t="str">
        <x:v>NULL不表示低风险。</x:v>
      </x:c>
      <x:c r="G25" s="19" t="str">
        <x:v>说明</x:v>
      </x:c>
      <x:c r="H25" s="19" t="str">
        <x:v>重复文章不重复建边。</x:v>
      </x:c>
    </x:row>
  </x:sheetData>
  <x:mergeCells>
    <x:mergeCell ref="A1:H2"/>
    <x:mergeCell ref="A3:H3"/>
    <x:mergeCell ref="A13:H13"/>
    <x:mergeCell ref="A20:H20"/>
  </x:mergeCells>
  <x:conditionalFormatting sqref="D5:D11">
    <x:cfRule type="containsText" dxfId="15" priority="1" operator="containsText" text="通过"/>
  </x:conditionalFormatting>
  <x:conditionalFormatting sqref="H5:H11">
    <x:cfRule type="containsText" dxfId="16" priority="2" operator="containsText" text="通过"/>
  </x:conditionalFormatting>
  <x:pageMargins left="0.7" right="0.7" top="0.75" bottom="0.75" header="0.3" footer="0.3"/>
</x:worksheet>
</file>