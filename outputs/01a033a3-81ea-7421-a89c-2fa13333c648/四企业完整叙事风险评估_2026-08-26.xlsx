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1570494ee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总览" sheetId="1" r:id="R8290e2c675ef4ddf"/>
    <x:sheet xmlns:r="http://schemas.openxmlformats.org/officeDocument/2006/relationships" name="叙事指标" sheetId="2" r:id="R991c73861f104539"/>
    <x:sheet xmlns:r="http://schemas.openxmlformats.org/officeDocument/2006/relationships" name="客观风险" sheetId="3" r:id="R2d566447cfd24b94"/>
    <x:sheet xmlns:r="http://schemas.openxmlformats.org/officeDocument/2006/relationships" name="关键观测" sheetId="4" r:id="Rc349caf6a5f84712"/>
    <x:sheet xmlns:r="http://schemas.openxmlformats.org/officeDocument/2006/relationships" name="来源台账" sheetId="5" r:id="Ra12915bc61804894"/>
    <x:sheet xmlns:r="http://schemas.openxmlformats.org/officeDocument/2006/relationships" name="风险事件" sheetId="6" r:id="Rcd9eea5371ed4a9b"/>
    <x:sheet xmlns:r="http://schemas.openxmlformats.org/officeDocument/2006/relationships" name="数据缺口" sheetId="7" r:id="Rbd2ea5a4c967470a"/>
    <x:sheet xmlns:r="http://schemas.openxmlformats.org/officeDocument/2006/relationships" name="方法与参数" sheetId="8" r:id="R0caf03d4bd5d4130"/>
  </x:sheets>
</x:workbook>
</file>

<file path=xl/comments1.xml><?xml version="1.0" encoding="utf-8"?>
<x:comments xmlns:x="http://schemas.openxmlformats.org/spreadsheetml/2006/main">
  <x:authors>
    <x:author>tc={676BCE7C-E36F-BE00-6876-F6D3FB7672F7}</x:author>
    <x:author>tc={187992A3-92E0-6754-A0D5-38B378490A91}</x:author>
    <x:author>tc={2AD673B5-0BCD-E6AF-FC7A-077F83F79467}</x:author>
    <x:author>tc={685E522F-9177-B39E-59E6-E28E4A00828B}</x:author>
  </x:authors>
  <x:commentList>
    <x:comment ref="L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来源：寒武纪2025年报、2026年半年报、上证路演及上一版R01-R22审计数据集。诉讼请求金额不代表最终责任。</x:t>
        </x:r>
      </x:text>
    </x:comment>
    <x:comment ref="L1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来源：燧原科技招股意向书。注意：该文件晚于IPO前特征冻结日，仅作后验验证。</x:t>
        </x:r>
      </x:text>
    </x:comment>
    <x:comment ref="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来源：华微电子2022年报盲测特征；2023年报、立案与行政处罚仅作标签验证。</x:t>
        </x:r>
      </x:text>
    </x:comment>
    <x:comment ref="L1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来源：恒瑞医药2025年报与2025年度业绩说明会。正常对照不等于无风险。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"/>
    <x:numFmt numFmtId="202" formatCode="0.0000"/>
    <x:numFmt numFmtId="203" formatCode="0.00"/>
    <x:numFmt numFmtId="204" formatCode="0.0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4E78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3"/>
      <x:color rgb="FFC00000"/>
      <x:name val="Carlito"/>
    </x:font>
    <x:font>
      <x:b/>
      <x:sz val="13"/>
      <x:color rgb="FF9C5700"/>
      <x:name val="Carlito"/>
    </x:font>
    <x:font>
      <x:b/>
      <x:sz val="13"/>
      <x:color rgb="FF1F4E78"/>
      <x:name val="Carlito"/>
    </x:font>
    <x:font>
      <x:b/>
      <x:sz val="13"/>
      <x:color rgb="FF54823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E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0F6B78"/>
      </x:patternFill>
    </x:fill>
  </x:fills>
  <x:borders count="3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medium">
        <x:color rgb="FFC00000"/>
      </x:left>
      <x:top style="medium">
        <x:color rgb="FFC00000"/>
      </x:top>
    </x:border>
    <x:border>
      <x:top style="medium">
        <x:color rgb="FFC00000"/>
      </x:top>
    </x:border>
    <x:border>
      <x:right style="medium">
        <x:color rgb="FFC00000"/>
      </x:right>
      <x:top style="medium">
        <x:color rgb="FFC00000"/>
      </x:top>
    </x:border>
    <x:border>
      <x:left style="medium">
        <x:color rgb="FFC00000"/>
      </x:left>
    </x:border>
    <x:border>
      <x:right style="medium">
        <x:color rgb="FFC00000"/>
      </x:right>
    </x:border>
    <x:border>
      <x:left style="medium">
        <x:color rgb="FFC00000"/>
      </x:left>
      <x:bottom style="medium">
        <x:color rgb="FFC00000"/>
      </x:bottom>
    </x:border>
    <x:border>
      <x:bottom style="medium">
        <x:color rgb="FFC00000"/>
      </x:bottom>
    </x:border>
    <x:border>
      <x:right style="medium">
        <x:color rgb="FFC00000"/>
      </x:right>
      <x:bottom style="medium">
        <x:color rgb="FFC00000"/>
      </x:bottom>
    </x:border>
    <x:border>
      <x:left style="medium">
        <x:color rgb="FF9C5700"/>
      </x:left>
      <x:top style="medium">
        <x:color rgb="FF9C5700"/>
      </x:top>
    </x:border>
    <x:border>
      <x:top style="medium">
        <x:color rgb="FF9C5700"/>
      </x:top>
    </x:border>
    <x:border>
      <x:right style="medium">
        <x:color rgb="FF9C5700"/>
      </x:right>
      <x:top style="medium">
        <x:color rgb="FF9C5700"/>
      </x:top>
    </x:border>
    <x:border>
      <x:left style="medium">
        <x:color rgb="FF9C5700"/>
      </x:left>
    </x:border>
    <x:border>
      <x:right style="medium">
        <x:color rgb="FF9C5700"/>
      </x:right>
    </x:border>
    <x:border>
      <x:left style="medium">
        <x:color rgb="FF9C5700"/>
      </x:left>
      <x:bottom style="medium">
        <x:color rgb="FF9C5700"/>
      </x:bottom>
    </x:border>
    <x:border>
      <x:bottom style="medium">
        <x:color rgb="FF9C5700"/>
      </x:bottom>
    </x:border>
    <x:border>
      <x:right style="medium">
        <x:color rgb="FF9C5700"/>
      </x:right>
      <x:bottom style="medium">
        <x:color rgb="FF9C5700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medium">
        <x:color rgb="FF548235"/>
      </x:left>
      <x:top style="medium">
        <x:color rgb="FF548235"/>
      </x:top>
    </x:border>
    <x:border>
      <x:top style="medium">
        <x:color rgb="FF548235"/>
      </x:top>
    </x:border>
    <x:border>
      <x:right style="medium">
        <x:color rgb="FF548235"/>
      </x:right>
      <x:top style="medium">
        <x:color rgb="FF548235"/>
      </x:top>
    </x:border>
    <x:border>
      <x:left style="medium">
        <x:color rgb="FF548235"/>
      </x:left>
    </x:border>
    <x:border>
      <x:right style="medium">
        <x:color rgb="FF548235"/>
      </x:right>
    </x:border>
    <x:border>
      <x:left style="medium">
        <x:color rgb="FF548235"/>
      </x:left>
      <x:bottom style="medium">
        <x:color rgb="FF548235"/>
      </x:bottom>
    </x:border>
    <x:border>
      <x:bottom style="medium">
        <x:color rgb="FF548235"/>
      </x:bottom>
    </x:border>
    <x:border>
      <x:right style="medium">
        <x:color rgb="FF548235"/>
      </x:right>
      <x:bottom style="medium">
        <x:color rgb="FF548235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1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8" xfId="0" applyNumberFormat="1" applyFont="1" applyFill="1" applyBorder="1" applyAlignment="1">
      <x:alignment horizontal="center" vertical="center" wrapText="1"/>
    </x:xf>
    <x:xf numFmtId="0" fontId="7" fillId="7" borderId="19" xfId="0" applyNumberFormat="1" applyFont="1" applyFill="1" applyBorder="1" applyAlignment="1">
      <x:alignment horizontal="center" vertical="center" wrapText="1"/>
    </x:xf>
    <x:xf numFmtId="0" fontId="7" fillId="7" borderId="20" xfId="0" applyNumberFormat="1" applyFont="1" applyFill="1" applyBorder="1" applyAlignment="1">
      <x:alignment horizontal="center" vertical="center" wrapText="1"/>
    </x:xf>
    <x:xf numFmtId="0" fontId="7" fillId="7" borderId="21" xfId="0" applyNumberFormat="1" applyFont="1" applyFill="1" applyBorder="1" applyAlignment="1">
      <x:alignment horizontal="center" vertical="center" wrapText="1"/>
    </x:xf>
    <x:xf numFmtId="0" fontId="7" fillId="7" borderId="22" xfId="0" applyNumberFormat="1" applyFont="1" applyFill="1" applyBorder="1" applyAlignment="1">
      <x:alignment horizontal="center" vertical="center" wrapText="1"/>
    </x:xf>
    <x:xf numFmtId="0" fontId="7" fillId="7" borderId="23" xfId="0" applyNumberFormat="1" applyFont="1" applyFill="1" applyBorder="1" applyAlignment="1">
      <x:alignment horizontal="center" vertical="center" wrapText="1"/>
    </x:xf>
    <x:xf numFmtId="0" fontId="7" fillId="7" borderId="24" xfId="0" applyNumberFormat="1" applyFont="1" applyFill="1" applyBorder="1" applyAlignment="1">
      <x:alignment horizontal="center" vertical="center" wrapText="1"/>
    </x:xf>
    <x:xf numFmtId="0" fontId="7" fillId="7" borderId="2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6" xfId="0" applyNumberFormat="1" applyFont="1" applyFill="1" applyBorder="1" applyAlignment="1">
      <x:alignment horizontal="center" vertical="center" wrapText="1"/>
    </x:xf>
    <x:xf numFmtId="0" fontId="8" fillId="8" borderId="27" xfId="0" applyNumberFormat="1" applyFont="1" applyFill="1" applyBorder="1" applyAlignment="1">
      <x:alignment horizontal="center" vertical="center" wrapText="1"/>
    </x:xf>
    <x:xf numFmtId="0" fontId="8" fillId="8" borderId="28" xfId="0" applyNumberFormat="1" applyFont="1" applyFill="1" applyBorder="1" applyAlignment="1">
      <x:alignment horizontal="center" vertical="center" wrapText="1"/>
    </x:xf>
    <x:xf numFmtId="0" fontId="8" fillId="8" borderId="29" xfId="0" applyNumberFormat="1" applyFont="1" applyFill="1" applyBorder="1" applyAlignment="1">
      <x:alignment horizontal="center" vertical="center" wrapText="1"/>
    </x:xf>
    <x:xf numFmtId="0" fontId="8" fillId="8" borderId="30" xfId="0" applyNumberFormat="1" applyFont="1" applyFill="1" applyBorder="1" applyAlignment="1">
      <x:alignment horizontal="center" vertical="center" wrapText="1"/>
    </x:xf>
    <x:xf numFmtId="0" fontId="8" fillId="8" borderId="31" xfId="0" applyNumberFormat="1" applyFont="1" applyFill="1" applyBorder="1" applyAlignment="1">
      <x:alignment horizontal="center" vertical="center" wrapText="1"/>
    </x:xf>
    <x:xf numFmtId="0" fontId="8" fillId="8" borderId="32" xfId="0" applyNumberFormat="1" applyFont="1" applyFill="1" applyBorder="1" applyAlignment="1">
      <x:alignment horizontal="center" vertical="center" wrapText="1"/>
    </x:xf>
    <x:xf numFmtId="0" fontId="8" fillId="8" borderId="33" xfId="0" applyNumberFormat="1" applyFont="1" applyFill="1" applyBorder="1" applyAlignment="1">
      <x:alignment horizontal="center" vertical="center" wrapText="1"/>
    </x:xf>
    <x:xf numFmtId="204" fontId="4" fillId="0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E4"/>
        </x:patternFill>
      </x:fill>
    </x:dxf>
    <x:dxf>
      <x:font>
        <x:b/>
        <x:color rgb="FFC00000"/>
      </x:font>
      <x:fill>
        <x:patternFill patternType="solid">
          <x:bgColor rgb="FFFCE4E4"/>
        </x:patternFill>
      </x:fill>
    </x:dxf>
    <x:dxf>
      <x:font>
        <x:b/>
        <x:color rgb="FFC00000"/>
      </x:font>
      <x:fill>
        <x:patternFill patternType="solid">
          <x:bgColor rgb="FFFCE4E4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68fab898c4669" /><Relationship Type="http://schemas.openxmlformats.org/officeDocument/2006/relationships/theme" Target="/xl/theme/theme1.xml" Id="R282443918b1e4a3e" /><Relationship Type="http://schemas.openxmlformats.org/officeDocument/2006/relationships/sharedStrings" Target="/xl/sharedStrings.xml" Id="R2b5288d2dfd54a49" /><Relationship Type="http://schemas.openxmlformats.org/officeDocument/2006/relationships/worksheet" Target="/xl/worksheets/sheet1.xml" Id="R8290e2c675ef4ddf" /><Relationship Type="http://schemas.openxmlformats.org/officeDocument/2006/relationships/worksheet" Target="/xl/worksheets/sheet2.xml" Id="R991c73861f104539" /><Relationship Type="http://schemas.openxmlformats.org/officeDocument/2006/relationships/worksheet" Target="/xl/worksheets/sheet3.xml" Id="R2d566447cfd24b94" /><Relationship Type="http://schemas.openxmlformats.org/officeDocument/2006/relationships/worksheet" Target="/xl/worksheets/sheet4.xml" Id="Rc349caf6a5f84712" /><Relationship Type="http://schemas.openxmlformats.org/officeDocument/2006/relationships/worksheet" Target="/xl/worksheets/sheet5.xml" Id="Ra12915bc61804894" /><Relationship Type="http://schemas.openxmlformats.org/officeDocument/2006/relationships/worksheet" Target="/xl/worksheets/sheet6.xml" Id="Rcd9eea5371ed4a9b" /><Relationship Type="http://schemas.openxmlformats.org/officeDocument/2006/relationships/worksheet" Target="/xl/worksheets/sheet7.xml" Id="Rbd2ea5a4c967470a" /><Relationship Type="http://schemas.openxmlformats.org/officeDocument/2006/relationships/worksheet" Target="/xl/worksheets/sheet8.xml" Id="R0caf03d4bd5d4130" /><Relationship Type="http://schemas.microsoft.com/office/2017/10/relationships/person" Target="/xl/persons/person.xml" Id="R30ca63766f914c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ebe35bd42846d6" /><Relationship Type="http://schemas.openxmlformats.org/officeDocument/2006/relationships/chart" Target="/xl/drawings/charts/chart2.xml" Id="Re05364fde3344a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客观风险分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客观风险分</c:v>
          </c:tx>
          <c:spPr>
            <a:solidFill xmlns:a="http://schemas.openxmlformats.org/drawingml/2006/main">
              <a:srgbClr val="0F6B78"/>
            </a:solidFill>
          </c:spPr>
          <c:cat>
            <c:strRef>
              <c:f>'评估总览'!$A$11:$A$14</c:f>
              <c:strCache>
                <c:ptCount val="0"/>
              </c:strCache>
            </c:strRef>
          </c:cat>
          <c:val>
            <c:numRef>
              <c:f>'评估总览'!$D$11:$D$14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五维风险轮廓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技术风险</c:v>
          </c:tx>
          <c:cat>
            <c:strRef>
              <c:f>'评估总览'!$G$33:$G$36</c:f>
              <c:strCache>
                <c:ptCount val="0"/>
              </c:strCache>
            </c:strRef>
          </c:cat>
          <c:val>
            <c:numRef>
              <c:f>'评估总览'!$H$33:$H$36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合规风险</c:v>
          </c:tx>
          <c:cat>
            <c:strRef>
              <c:f>'评估总览'!$G$33:$G$36</c:f>
              <c:strCache>
                <c:ptCount val="0"/>
              </c:strCache>
            </c:strRef>
          </c:cat>
          <c:val>
            <c:numRef>
              <c:f>'评估总览'!$I$33:$I$36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财务风险</c:v>
          </c:tx>
          <c:cat>
            <c:strRef>
              <c:f>'评估总览'!$G$33:$G$36</c:f>
              <c:strCache>
                <c:ptCount val="0"/>
              </c:strCache>
            </c:strRef>
          </c:cat>
          <c:val>
            <c:numRef>
              <c:f>'评估总览'!$J$33:$J$36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外部风险</c:v>
          </c:tx>
          <c:cat>
            <c:strRef>
              <c:f>'评估总览'!$G$33:$G$36</c:f>
              <c:strCache>
                <c:ptCount val="0"/>
              </c:strCache>
            </c:strRef>
          </c:cat>
          <c:val>
            <c:numRef>
              <c:f>'评估总览'!$K$33:$K$36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人员风险</c:v>
          </c:tx>
          <c:cat>
            <c:strRef>
              <c:f>'评估总览'!$G$33:$G$36</c:f>
              <c:strCache>
                <c:ptCount val="0"/>
              </c:strCache>
            </c:strRef>
          </c:cat>
          <c:val>
            <c:numRef>
              <c:f>'评估总览'!$L$33:$L$36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ebe35bd42846d6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5364fde3344ac8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dex 风险评估" id="{FD8A8179-1830-43A8-85DA-27D0C9DA0B8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L11" dT="2026-08-26T06:50:59.152" personId="{FD8A8179-1830-43A8-85DA-27D0C9DA0B81}" id="{676BCE7C-E36F-BE00-6876-F6D3FB7672F7}">
    <xltc:text>来源：寒武纪2025年报、2026年半年报、上证路演及上一版R01-R22审计数据集。诉讼请求金额不代表最终责任。</xltc:text>
  </xltc:threadedComment>
  <xltc:threadedComment ref="L12" dT="2026-08-26T06:50:59.155" personId="{FD8A8179-1830-43A8-85DA-27D0C9DA0B81}" id="{187992A3-92E0-6754-A0D5-38B378490A91}">
    <xltc:text>来源：燧原科技招股意向书。注意：该文件晚于IPO前特征冻结日，仅作后验验证。</xltc:text>
  </xltc:threadedComment>
  <xltc:threadedComment ref="L13" dT="2026-08-26T06:50:59.155" personId="{FD8A8179-1830-43A8-85DA-27D0C9DA0B81}" id="{2AD673B5-0BCD-E6AF-FC7A-077F83F79467}">
    <xltc:text>来源：华微电子2022年报盲测特征；2023年报、立案与行政处罚仅作标签验证。</xltc:text>
  </xltc:threadedComment>
  <xltc:threadedComment ref="L14" dT="2026-08-26T06:50:59.155" personId="{FD8A8179-1830-43A8-85DA-27D0C9DA0B81}" id="{685E522F-9177-B39E-59E6-E28E4A00828B}">
    <xltc:text>来源：恒瑞医药2025年报与2025年度业绩说明会。正常对照不等于无风险。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28b82d5b3254c33" /><Relationship Type="http://schemas.openxmlformats.org/officeDocument/2006/relationships/vmlDrawing" Target="/xl/drawings/vmldrawing.vml" Id="R2e3978fce37b4523" /><Relationship Type="http://schemas.microsoft.com/office/2017/10/relationships/threadedComment" Target="/xl/threadedcomments/threadedcomment.xml" Id="R5883b047e2cb4b5d" /><Relationship Type="http://schemas.openxmlformats.org/officeDocument/2006/relationships/drawing" Target="/xl/drawings/drawing1.xml" Id="R056dfe7aaaa345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14" hidden="0" customWidth="1"/>
    <x:col min="5" max="5" width="10" hidden="0" customWidth="1"/>
    <x:col min="6" max="6" width="11" hidden="0" customWidth="1"/>
    <x:col min="7" max="7" width="11" hidden="0" customWidth="1"/>
    <x:col min="8" max="8" width="11" hidden="0" customWidth="1"/>
    <x:col min="9" max="9" width="10" hidden="0" customWidth="1"/>
    <x:col min="10" max="10" width="11" hidden="0" customWidth="1"/>
    <x:col min="11" max="11" width="12" hidden="0" customWidth="1"/>
    <x:col min="12" max="12" width="52" hidden="0" customWidth="1"/>
  </x:cols>
  <x:sheetData>
    <x:row r="1" ht="34" customHeight="1">
      <x:c r="A1" s="4" t="str">
        <x:v>四企业叙事风险完整评估</x:v>
      </x:c>
      <x:c r="B1" s="4" t="str">
        <x:v>四企业叙事风险完整评估</x:v>
      </x:c>
      <x:c r="C1" s="4" t="str">
        <x:v>四企业叙事风险完整评估</x:v>
      </x:c>
      <x:c r="D1" s="4" t="str">
        <x:v>四企业叙事风险完整评估</x:v>
      </x:c>
      <x:c r="E1" s="4" t="str">
        <x:v>四企业叙事风险完整评估</x:v>
      </x:c>
      <x:c r="F1" s="4" t="str">
        <x:v>四企业叙事风险完整评估</x:v>
      </x:c>
      <x:c r="G1" s="4" t="str">
        <x:v>四企业叙事风险完整评估</x:v>
      </x:c>
      <x:c r="H1" s="4" t="str">
        <x:v>四企业叙事风险完整评估</x:v>
      </x:c>
      <x:c r="I1" s="4" t="str">
        <x:v>四企业叙事风险完整评估</x:v>
      </x:c>
      <x:c r="J1" s="4" t="str">
        <x:v>四企业叙事风险完整评估</x:v>
      </x:c>
      <x:c r="K1" s="4" t="str">
        <x:v>四企业叙事风险完整评估</x:v>
      </x:c>
      <x:c r="L1" s="4" t="str">
        <x:v>四企业叙事风险完整评估</x:v>
      </x:c>
    </x:row>
    <x:row r="2" ht="34" customHeight="1">
      <x:c r="A2" s="4" t="str">
        <x:v>四企业叙事风险完整评估</x:v>
      </x:c>
      <x:c r="B2" s="4" t="str">
        <x:v>四企业叙事风险完整评估</x:v>
      </x:c>
      <x:c r="C2" s="4" t="str">
        <x:v>四企业叙事风险完整评估</x:v>
      </x:c>
      <x:c r="D2" s="4" t="str">
        <x:v>四企业叙事风险完整评估</x:v>
      </x:c>
      <x:c r="E2" s="4" t="str">
        <x:v>四企业叙事风险完整评估</x:v>
      </x:c>
      <x:c r="F2" s="4" t="str">
        <x:v>四企业叙事风险完整评估</x:v>
      </x:c>
      <x:c r="G2" s="4" t="str">
        <x:v>四企业叙事风险完整评估</x:v>
      </x:c>
      <x:c r="H2" s="4" t="str">
        <x:v>四企业叙事风险完整评估</x:v>
      </x:c>
      <x:c r="I2" s="4" t="str">
        <x:v>四企业叙事风险完整评估</x:v>
      </x:c>
      <x:c r="J2" s="4" t="str">
        <x:v>四企业叙事风险完整评估</x:v>
      </x:c>
      <x:c r="K2" s="4" t="str">
        <x:v>四企业叙事风险完整评估</x:v>
      </x:c>
      <x:c r="L2" s="4" t="str">
        <x:v>四企业叙事风险完整评估</x:v>
      </x:c>
    </x:row>
    <x:row r="3" ht="28" customHeight="1">
      <x:c r="A3" s="7" t="str">
        <x:v>评估日：2026-08-26｜客观分沿用上一版R05-R22/CRITIC｜叙事指标单列为增强层｜华微采用盲测/公开红旗双窗口｜本表不构成投资建议或监管认定</x:v>
      </x:c>
      <x:c r="B3" s="7" t="str">
        <x:v>评估日：2026-08-26｜客观分沿用上一版R05-R22/CRITIC｜叙事指标单列为增强层｜华微采用盲测/公开红旗双窗口｜本表不构成投资建议或监管认定</x:v>
      </x:c>
      <x:c r="C3" s="7" t="str">
        <x:v>评估日：2026-08-26｜客观分沿用上一版R05-R22/CRITIC｜叙事指标单列为增强层｜华微采用盲测/公开红旗双窗口｜本表不构成投资建议或监管认定</x:v>
      </x:c>
      <x:c r="D3" s="7" t="str">
        <x:v>评估日：2026-08-26｜客观分沿用上一版R05-R22/CRITIC｜叙事指标单列为增强层｜华微采用盲测/公开红旗双窗口｜本表不构成投资建议或监管认定</x:v>
      </x:c>
      <x:c r="E3" s="7" t="str">
        <x:v>评估日：2026-08-26｜客观分沿用上一版R05-R22/CRITIC｜叙事指标单列为增强层｜华微采用盲测/公开红旗双窗口｜本表不构成投资建议或监管认定</x:v>
      </x:c>
      <x:c r="F3" s="7" t="str">
        <x:v>评估日：2026-08-26｜客观分沿用上一版R05-R22/CRITIC｜叙事指标单列为增强层｜华微采用盲测/公开红旗双窗口｜本表不构成投资建议或监管认定</x:v>
      </x:c>
      <x:c r="G3" s="7" t="str">
        <x:v>评估日：2026-08-26｜客观分沿用上一版R05-R22/CRITIC｜叙事指标单列为增强层｜华微采用盲测/公开红旗双窗口｜本表不构成投资建议或监管认定</x:v>
      </x:c>
      <x:c r="H3" s="7" t="str">
        <x:v>评估日：2026-08-26｜客观分沿用上一版R05-R22/CRITIC｜叙事指标单列为增强层｜华微采用盲测/公开红旗双窗口｜本表不构成投资建议或监管认定</x:v>
      </x:c>
      <x:c r="I3" s="7" t="str">
        <x:v>评估日：2026-08-26｜客观分沿用上一版R05-R22/CRITIC｜叙事指标单列为增强层｜华微采用盲测/公开红旗双窗口｜本表不构成投资建议或监管认定</x:v>
      </x:c>
      <x:c r="J3" s="7" t="str">
        <x:v>评估日：2026-08-26｜客观分沿用上一版R05-R22/CRITIC｜叙事指标单列为增强层｜华微采用盲测/公开红旗双窗口｜本表不构成投资建议或监管认定</x:v>
      </x:c>
      <x:c r="K3" s="7" t="str">
        <x:v>评估日：2026-08-26｜客观分沿用上一版R05-R22/CRITIC｜叙事指标单列为增强层｜华微采用盲测/公开红旗双窗口｜本表不构成投资建议或监管认定</x:v>
      </x:c>
      <x:c r="L3" s="7" t="str">
        <x:v>评估日：2026-08-26｜客观分沿用上一版R05-R22/CRITIC｜叙事指标单列为增强层｜华微采用盲测/公开红旗双窗口｜本表不构成投资建议或监管认定</x:v>
      </x:c>
    </x:row>
    <x:row r="5" ht="24" customHeight="1">
      <x:c r="A5" s="29" t="str">
        <x:v>华微电子
高｜盲测已触发
客观 61.83 / PDQI风险 69.07</x:v>
      </x:c>
      <x:c r="B5" s="30" t="str">
        <x:v>华微电子
高｜盲测已触发
客观 61.83 / PDQI风险 69.07</x:v>
      </x:c>
      <x:c r="C5" s="31" t="str">
        <x:v>华微电子
高｜盲测已触发
客观 61.83 / PDQI风险 69.07</x:v>
      </x:c>
      <x:c r="D5" s="42" t="str">
        <x:v>燧原科技
中高｜后验验证
财务维度 64.42 / 覆盖50%</x:v>
      </x:c>
      <x:c r="E5" s="43" t="str">
        <x:v>燧原科技
中高｜后验验证
财务维度 64.42 / 覆盖50%</x:v>
      </x:c>
      <x:c r="F5" s="44" t="str">
        <x:v>燧原科技
中高｜后验验证
财务维度 64.42 / 覆盖50%</x:v>
      </x:c>
      <x:c r="G5" s="55" t="str">
        <x:v>寒武纪
中｜重点观察
客观 47.27 / 覆盖88.89%</x:v>
      </x:c>
      <x:c r="H5" s="56" t="str">
        <x:v>寒武纪
中｜重点观察
客观 47.27 / 覆盖88.89%</x:v>
      </x:c>
      <x:c r="I5" s="57" t="str">
        <x:v>寒武纪
中｜重点观察
客观 47.27 / 覆盖88.89%</x:v>
      </x:c>
      <x:c r="J5" s="68" t="str">
        <x:v>恒瑞医药
中低｜对照样本
客观 41.15 / 覆盖38.89%</x:v>
      </x:c>
      <x:c r="K5" s="69" t="str">
        <x:v>恒瑞医药
中低｜对照样本
客观 41.15 / 覆盖38.89%</x:v>
      </x:c>
      <x:c r="L5" s="70" t="str">
        <x:v>恒瑞医药
中低｜对照样本
客观 41.15 / 覆盖38.89%</x:v>
      </x:c>
    </x:row>
    <x:row r="6" ht="24" customHeight="1">
      <x:c r="A6" s="32" t="str">
        <x:v>华微电子
高｜盲测已触发
客观 61.83 / PDQI风险 69.07</x:v>
      </x:c>
      <x:c r="B6" s="28" t="str">
        <x:v>华微电子
高｜盲测已触发
客观 61.83 / PDQI风险 69.07</x:v>
      </x:c>
      <x:c r="C6" s="33" t="str">
        <x:v>华微电子
高｜盲测已触发
客观 61.83 / PDQI风险 69.07</x:v>
      </x:c>
      <x:c r="D6" s="45" t="str">
        <x:v>燧原科技
中高｜后验验证
财务维度 64.42 / 覆盖50%</x:v>
      </x:c>
      <x:c r="E6" s="41" t="str">
        <x:v>燧原科技
中高｜后验验证
财务维度 64.42 / 覆盖50%</x:v>
      </x:c>
      <x:c r="F6" s="46" t="str">
        <x:v>燧原科技
中高｜后验验证
财务维度 64.42 / 覆盖50%</x:v>
      </x:c>
      <x:c r="G6" s="58" t="str">
        <x:v>寒武纪
中｜重点观察
客观 47.27 / 覆盖88.89%</x:v>
      </x:c>
      <x:c r="H6" s="54" t="str">
        <x:v>寒武纪
中｜重点观察
客观 47.27 / 覆盖88.89%</x:v>
      </x:c>
      <x:c r="I6" s="59" t="str">
        <x:v>寒武纪
中｜重点观察
客观 47.27 / 覆盖88.89%</x:v>
      </x:c>
      <x:c r="J6" s="71" t="str">
        <x:v>恒瑞医药
中低｜对照样本
客观 41.15 / 覆盖38.89%</x:v>
      </x:c>
      <x:c r="K6" s="67" t="str">
        <x:v>恒瑞医药
中低｜对照样本
客观 41.15 / 覆盖38.89%</x:v>
      </x:c>
      <x:c r="L6" s="72" t="str">
        <x:v>恒瑞医药
中低｜对照样本
客观 41.15 / 覆盖38.89%</x:v>
      </x:c>
    </x:row>
    <x:row r="7" ht="24" customHeight="1">
      <x:c r="A7" s="32" t="str">
        <x:v>华微电子
高｜盲测已触发
客观 61.83 / PDQI风险 69.07</x:v>
      </x:c>
      <x:c r="B7" s="28" t="str">
        <x:v>华微电子
高｜盲测已触发
客观 61.83 / PDQI风险 69.07</x:v>
      </x:c>
      <x:c r="C7" s="33" t="str">
        <x:v>华微电子
高｜盲测已触发
客观 61.83 / PDQI风险 69.07</x:v>
      </x:c>
      <x:c r="D7" s="45" t="str">
        <x:v>燧原科技
中高｜后验验证
财务维度 64.42 / 覆盖50%</x:v>
      </x:c>
      <x:c r="E7" s="41" t="str">
        <x:v>燧原科技
中高｜后验验证
财务维度 64.42 / 覆盖50%</x:v>
      </x:c>
      <x:c r="F7" s="46" t="str">
        <x:v>燧原科技
中高｜后验验证
财务维度 64.42 / 覆盖50%</x:v>
      </x:c>
      <x:c r="G7" s="58" t="str">
        <x:v>寒武纪
中｜重点观察
客观 47.27 / 覆盖88.89%</x:v>
      </x:c>
      <x:c r="H7" s="54" t="str">
        <x:v>寒武纪
中｜重点观察
客观 47.27 / 覆盖88.89%</x:v>
      </x:c>
      <x:c r="I7" s="59" t="str">
        <x:v>寒武纪
中｜重点观察
客观 47.27 / 覆盖88.89%</x:v>
      </x:c>
      <x:c r="J7" s="71" t="str">
        <x:v>恒瑞医药
中低｜对照样本
客观 41.15 / 覆盖38.89%</x:v>
      </x:c>
      <x:c r="K7" s="67" t="str">
        <x:v>恒瑞医药
中低｜对照样本
客观 41.15 / 覆盖38.89%</x:v>
      </x:c>
      <x:c r="L7" s="72" t="str">
        <x:v>恒瑞医药
中低｜对照样本
客观 41.15 / 覆盖38.89%</x:v>
      </x:c>
    </x:row>
    <x:row r="8" ht="24" customHeight="1">
      <x:c r="A8" s="34" t="str">
        <x:v>华微电子
高｜盲测已触发
客观 61.83 / PDQI风险 69.07</x:v>
      </x:c>
      <x:c r="B8" s="35" t="str">
        <x:v>华微电子
高｜盲测已触发
客观 61.83 / PDQI风险 69.07</x:v>
      </x:c>
      <x:c r="C8" s="36" t="str">
        <x:v>华微电子
高｜盲测已触发
客观 61.83 / PDQI风险 69.07</x:v>
      </x:c>
      <x:c r="D8" s="47" t="str">
        <x:v>燧原科技
中高｜后验验证
财务维度 64.42 / 覆盖50%</x:v>
      </x:c>
      <x:c r="E8" s="48" t="str">
        <x:v>燧原科技
中高｜后验验证
财务维度 64.42 / 覆盖50%</x:v>
      </x:c>
      <x:c r="F8" s="49" t="str">
        <x:v>燧原科技
中高｜后验验证
财务维度 64.42 / 覆盖50%</x:v>
      </x:c>
      <x:c r="G8" s="60" t="str">
        <x:v>寒武纪
中｜重点观察
客观 47.27 / 覆盖88.89%</x:v>
      </x:c>
      <x:c r="H8" s="61" t="str">
        <x:v>寒武纪
中｜重点观察
客观 47.27 / 覆盖88.89%</x:v>
      </x:c>
      <x:c r="I8" s="62" t="str">
        <x:v>寒武纪
中｜重点观察
客观 47.27 / 覆盖88.89%</x:v>
      </x:c>
      <x:c r="J8" s="73" t="str">
        <x:v>恒瑞医药
中低｜对照样本
客观 41.15 / 覆盖38.89%</x:v>
      </x:c>
      <x:c r="K8" s="74" t="str">
        <x:v>恒瑞医药
中低｜对照样本
客观 41.15 / 覆盖38.89%</x:v>
      </x:c>
      <x:c r="L8" s="75" t="str">
        <x:v>恒瑞医药
中低｜对照样本
客观 41.15 / 覆盖38.89%</x:v>
      </x:c>
    </x:row>
    <x:row r="10" ht="15" hidden="0" customHeight="1">
      <x:c r="A10" s="13" t="str">
        <x:v>企业</x:v>
      </x:c>
      <x:c r="B10" s="13" t="str">
        <x:v>样本角色</x:v>
      </x:c>
      <x:c r="C10" s="13" t="str">
        <x:v>特征冻结日</x:v>
      </x:c>
      <x:c r="D10" s="13" t="str">
        <x:v>客观风险分</x:v>
      </x:c>
      <x:c r="E10" s="13" t="str">
        <x:v>覆盖率</x:v>
      </x:c>
      <x:c r="F10" s="13" t="str">
        <x:v>PDQI</x:v>
      </x:c>
      <x:c r="G10" s="13" t="str">
        <x:v>PDQI风险%</x:v>
      </x:c>
      <x:c r="H10" s="13" t="str">
        <x:v>ITAG-lite</x:v>
      </x:c>
      <x:c r="I10" s="13" t="str">
        <x:v>TONE</x:v>
      </x:c>
      <x:c r="J10" s="13" t="str">
        <x:v>财务维度</x:v>
      </x:c>
      <x:c r="K10" s="13" t="str">
        <x:v>联合等级</x:v>
      </x:c>
      <x:c r="L10" s="13" t="str">
        <x:v>关键结论</x:v>
      </x:c>
    </x:row>
    <x:row r="11" ht="15" hidden="0" customHeight="1">
      <x:c r="A11" s="17" t="str">
        <x:v>寒武纪</x:v>
      </x:c>
      <x:c r="B11" s="17" t="str">
        <x:v>目标观察</x:v>
      </x:c>
      <x:c r="C11" s="17" t="str">
        <x:v>2026-08-25</x:v>
      </x:c>
      <x:c r="D11" s="23" t="n">
        <x:v>47.27</x:v>
      </x:c>
      <x:c r="E11" s="76" t="n">
        <x:v>0.8889</x:v>
      </x:c>
      <x:c r="F11" s="23" t="n">
        <x:f>'叙事指标'!K5</x:f>
        <x:v>0.5183147695372634</x:v>
      </x:c>
      <x:c r="G11" s="23" t="n">
        <x:f>'叙事指标'!L5</x:f>
        <x:v>48.16852304627366</x:v>
      </x:c>
      <x:c r="H11" s="23" t="n">
        <x:f>'叙事指标'!Q5</x:f>
        <x:v>-3.2417630436967784</x:v>
      </x:c>
      <x:c r="I11" s="23" t="n">
        <x:f>IF('叙事指标'!V5="不可计算","",'叙事指标'!T5)</x:f>
        <x:v>0.7798165137614679</x:v>
      </x:c>
      <x:c r="J11" s="23" t="n">
        <x:v>39.59</x:v>
      </x:c>
      <x:c r="K11" s="17" t="str">
        <x:f>IF(D11&gt;=60,"高",IF(AND(D11&gt;=45,MAX(G11,J11)&gt;=60),"中高",IF(D11&gt;=45,"中","中低")))</x:f>
        <x:v>中</x:v>
      </x:c>
      <x:c r="L11" s="17" t="str">
        <x:v>增长兑现强，但诉讼、出口约束和人员关联暴露仍需持续核验</x:v>
      </x:c>
    </x:row>
    <x:row r="12" ht="15" hidden="0" customHeight="1">
      <x:c r="A12" s="17" t="str">
        <x:v>燧原科技</x:v>
      </x:c>
      <x:c r="B12" s="17" t="str">
        <x:v>IPO前未上市</x:v>
      </x:c>
      <x:c r="C12" s="17" t="str">
        <x:v>2026-08-23 23:59</x:v>
      </x:c>
      <x:c r="D12" s="23" t="n">
        <x:v>46.75</x:v>
      </x:c>
      <x:c r="E12" s="76" t="n">
        <x:v>0.5</x:v>
      </x:c>
      <x:c r="F12" s="23" t="n">
        <x:f>'叙事指标'!K6</x:f>
        <x:v>0.5512518244077691</x:v>
      </x:c>
      <x:c r="G12" s="23" t="n">
        <x:f>'叙事指标'!L6</x:f>
        <x:v>44.87481755922309</x:v>
      </x:c>
      <x:c r="H12" s="23" t="n">
        <x:f>'叙事指标'!Q6</x:f>
        <x:v>-1.1339136796482556</x:v>
      </x:c>
      <x:c r="I12" s="23" t="str">
        <x:f>IF('叙事指标'!V6="不可计算","",'叙事指标'!T6)</x:f>
      </x:c>
      <x:c r="J12" s="23" t="n">
        <x:v>64.42</x:v>
      </x:c>
      <x:c r="K12" s="17" t="str">
        <x:f>IF(D12&gt;=60,"高",IF(AND(D12&gt;=45,MAX(G12,J12)&gt;=60),"中高",IF(D12&gt;=45,"中","中低")))</x:f>
        <x:v>中高</x:v>
      </x:c>
      <x:c r="L12" s="17" t="str">
        <x:v>技术与研发投入强；负经营现金流和客户集中构成主要兑现风险</x:v>
      </x:c>
    </x:row>
    <x:row r="13" ht="15" hidden="0" customHeight="1">
      <x:c r="A13" s="17" t="str">
        <x:v>华微电子</x:v>
      </x:c>
      <x:c r="B13" s="17" t="str">
        <x:v>重大风险正样本</x:v>
      </x:c>
      <x:c r="C13" s="17" t="str">
        <x:v>2024-04-28 23:59</x:v>
      </x:c>
      <x:c r="D13" s="23" t="n">
        <x:v>61.83</x:v>
      </x:c>
      <x:c r="E13" s="76" t="n">
        <x:v>0.4444</x:v>
      </x:c>
      <x:c r="F13" s="23" t="n">
        <x:f>'叙事指标'!K7</x:f>
        <x:v>0.30926323763955343</x:v>
      </x:c>
      <x:c r="G13" s="23" t="n">
        <x:f>'叙事指标'!L7</x:f>
        <x:v>69.07367623604466</x:v>
      </x:c>
      <x:c r="H13" s="23" t="n">
        <x:f>'叙事指标'!Q7</x:f>
        <x:v>-1.2846179988851185</x:v>
      </x:c>
      <x:c r="I13" s="23" t="str">
        <x:f>IF('叙事指标'!V7="不可计算","",'叙事指标'!T7)</x:f>
      </x:c>
      <x:c r="J13" s="23" t="n">
        <x:v>54.35</x:v>
      </x:c>
      <x:c r="K13" s="17" t="str">
        <x:f>IF(D13&gt;=60,"高",IF(AND(D13&gt;=45,MAX(G13,J13)&gt;=60),"中高",IF(D13&gt;=45,"中","中低")))</x:f>
        <x:v>高</x:v>
      </x:c>
      <x:c r="L13" s="17" t="str">
        <x:v>盲测期客观分与PDQI均触发；2025行政处罚完成事后验证</x:v>
      </x:c>
    </x:row>
    <x:row r="14" ht="15" hidden="0" customHeight="1">
      <x:c r="A14" s="17" t="str">
        <x:v>恒瑞医药</x:v>
      </x:c>
      <x:c r="B14" s="17" t="str">
        <x:v>跨行业对照</x:v>
      </x:c>
      <x:c r="C14" s="17" t="str">
        <x:v>2026-08-25</x:v>
      </x:c>
      <x:c r="D14" s="23" t="n">
        <x:v>41.15</x:v>
      </x:c>
      <x:c r="E14" s="76" t="n">
        <x:v>0.3889</x:v>
      </x:c>
      <x:c r="F14" s="23" t="n">
        <x:f>'叙事指标'!K8</x:f>
        <x:v>0.5223492335807257</x:v>
      </x:c>
      <x:c r="G14" s="23" t="n">
        <x:f>'叙事指标'!L8</x:f>
        <x:v>47.76507664192743</x:v>
      </x:c>
      <x:c r="H14" s="23" t="n">
        <x:f>'叙事指标'!Q8</x:f>
        <x:v>-3.948441712784252</x:v>
      </x:c>
      <x:c r="I14" s="23" t="n">
        <x:f>IF('叙事指标'!V8="不可计算","",'叙事指标'!T8)</x:f>
        <x:v>0.43529411764705883</x:v>
      </x:c>
      <x:c r="J14" s="23" t="n">
        <x:v>45.03</x:v>
      </x:c>
      <x:c r="K14" s="17" t="str">
        <x:f>IF(D14&gt;=60,"高",IF(AND(D14&gt;=45,MAX(G14,J14)&gt;=60),"中高",IF(D14&gt;=45,"中","中低")))</x:f>
        <x:v>中低</x:v>
      </x:c>
      <x:c r="L14" s="17" t="str">
        <x:v>研发与商业化形成兑现链；需补临床失败事件库和医药专用词典</x:v>
      </x:c>
    </x:row>
    <x:row r="16">
      <x:c r="A16" s="82" t="str">
        <x:v>客观风险分（同业基准）</x:v>
      </x:c>
      <x:c r="B16" s="82" t="str">
        <x:v>客观风险分（同业基准）</x:v>
      </x:c>
      <x:c r="C16" s="82" t="str">
        <x:v>客观风险分（同业基准）</x:v>
      </x:c>
      <x:c r="D16" s="82" t="str">
        <x:v>客观风险分（同业基准）</x:v>
      </x:c>
      <x:c r="E16" s="82" t="str">
        <x:v>客观风险分（同业基准）</x:v>
      </x:c>
      <x:c r="F16" s="82" t="str">
        <x:v>客观风险分（同业基准）</x:v>
      </x:c>
      <x:c r="G16" s="82" t="str">
        <x:v>五维风险分（缺失维度留空）</x:v>
      </x:c>
      <x:c r="H16" s="82" t="str">
        <x:v>五维风险分（缺失维度留空）</x:v>
      </x:c>
      <x:c r="I16" s="82" t="str">
        <x:v>五维风险分（缺失维度留空）</x:v>
      </x:c>
      <x:c r="J16" s="82" t="str">
        <x:v>五维风险分（缺失维度留空）</x:v>
      </x:c>
      <x:c r="K16" s="82" t="str">
        <x:v>五维风险分（缺失维度留空）</x:v>
      </x:c>
      <x:c r="L16" s="82" t="str">
        <x:v>五维风险分（缺失维度留空）</x:v>
      </x:c>
    </x:row>
    <x:row r="32" ht="15" hidden="0" customHeight="1">
      <x:c r="A32" s="82" t="str">
        <x:v>核心判断</x:v>
      </x:c>
      <x:c r="B32" s="82" t="str">
        <x:v>华微</x:v>
      </x:c>
      <x:c r="C32" s="82" t="str">
        <x:v>燧原</x:v>
      </x:c>
      <x:c r="D32" s="82" t="str">
        <x:v>寒武纪</x:v>
      </x:c>
      <x:c r="E32" s="82" t="str">
        <x:v>恒瑞</x:v>
      </x:c>
      <x:c r="F32" s="82" t="str">
        <x:v>含义</x:v>
      </x:c>
      <x:c r="G32" s="82" t="str">
        <x:v>企业</x:v>
      </x:c>
      <x:c r="H32" s="82" t="str">
        <x:v>技术风险</x:v>
      </x:c>
      <x:c r="I32" s="82" t="str">
        <x:v>合规风险</x:v>
      </x:c>
      <x:c r="J32" s="82" t="str">
        <x:v>财务风险</x:v>
      </x:c>
      <x:c r="K32" s="82" t="str">
        <x:v>外部风险</x:v>
      </x:c>
      <x:c r="L32" s="82" t="str">
        <x:v>人员风险</x:v>
      </x:c>
    </x:row>
    <x:row r="33" ht="15" hidden="0" customHeight="1">
      <x:c r="A33" s="17" t="str">
        <x:v>客观分是否≥60</x:v>
      </x:c>
      <x:c r="B33" s="17" t="str">
        <x:v>是</x:v>
      </x:c>
      <x:c r="C33" s="17" t="str">
        <x:v>否</x:v>
      </x:c>
      <x:c r="D33" s="17" t="str">
        <x:v>否</x:v>
      </x:c>
      <x:c r="E33" s="17" t="str">
        <x:v>否</x:v>
      </x:c>
      <x:c r="F33" s="17" t="str">
        <x:v>华微盲测高风险</x:v>
      </x:c>
      <x:c r="G33" s="17" t="str">
        <x:v>寒武纪</x:v>
      </x:c>
      <x:c r="H33" s="23" t="n">
        <x:v>42.37</x:v>
      </x:c>
      <x:c r="I33" s="23" t="n">
        <x:v>53.16</x:v>
      </x:c>
      <x:c r="J33" s="23" t="n">
        <x:v>39.59</x:v>
      </x:c>
      <x:c r="K33" s="23" t="n">
        <x:v>40.48</x:v>
      </x:c>
      <x:c r="L33" s="23" t="n">
        <x:v>61.81</x:v>
      </x:c>
    </x:row>
    <x:row r="34" ht="21.600000381469727" hidden="0" customHeight="1">
      <x:c r="A34" s="17" t="str">
        <x:v>PDQI风险是否≥60</x:v>
      </x:c>
      <x:c r="B34" s="17" t="str">
        <x:v>是</x:v>
      </x:c>
      <x:c r="C34" s="17" t="str">
        <x:v>否</x:v>
      </x:c>
      <x:c r="D34" s="17" t="str">
        <x:v>否</x:v>
      </x:c>
      <x:c r="E34" s="17" t="str">
        <x:v>否</x:v>
      </x:c>
      <x:c r="F34" s="17" t="str">
        <x:v>披露质量异常增强</x:v>
      </x:c>
      <x:c r="G34" s="17" t="str">
        <x:v>燧原科技</x:v>
      </x:c>
      <x:c r="H34" s="23" t="n">
        <x:v>36.04</x:v>
      </x:c>
      <x:c r="I34" s="23" t="n">
        <x:v>37.07</x:v>
      </x:c>
      <x:c r="J34" s="23" t="n">
        <x:v>64.42</x:v>
      </x:c>
      <x:c r="K34" s="23"/>
      <x:c r="L34" s="23"/>
    </x:row>
    <x:row r="35" ht="21.600000381469727" hidden="0" customHeight="1">
      <x:c r="A35" s="17" t="str">
        <x:v>ITAG-lite是否&gt;0</x:v>
      </x:c>
      <x:c r="B35" s="17" t="str">
        <x:v>否</x:v>
      </x:c>
      <x:c r="C35" s="17" t="str">
        <x:v>否</x:v>
      </x:c>
      <x:c r="D35" s="17" t="str">
        <x:v>否</x:v>
      </x:c>
      <x:c r="E35" s="17" t="str">
        <x:v>否</x:v>
      </x:c>
      <x:c r="F35" s="17" t="str">
        <x:v>夸大性指标未识别正样本</x:v>
      </x:c>
      <x:c r="G35" s="17" t="str">
        <x:v>华微电子</x:v>
      </x:c>
      <x:c r="H35" s="23" t="n">
        <x:v>68.79</x:v>
      </x:c>
      <x:c r="I35" s="23" t="n">
        <x:v>62.93</x:v>
      </x:c>
      <x:c r="J35" s="23" t="n">
        <x:v>54.35</x:v>
      </x:c>
      <x:c r="K35" s="23"/>
      <x:c r="L35" s="23"/>
    </x:row>
    <x:row r="36" ht="21.600000381469727" hidden="0" customHeight="1">
      <x:c r="A36" s="17" t="str">
        <x:v>TONE可用</x:v>
      </x:c>
      <x:c r="B36" s="17" t="str">
        <x:v>否</x:v>
      </x:c>
      <x:c r="C36" s="17" t="str">
        <x:v>否</x:v>
      </x:c>
      <x:c r="D36" s="17" t="str">
        <x:v>是</x:v>
      </x:c>
      <x:c r="E36" s="17" t="str">
        <x:v>是</x:v>
      </x:c>
      <x:c r="F36" s="17" t="str">
        <x:v>语调指标存在结构性缺口</x:v>
      </x:c>
      <x:c r="G36" s="17" t="str">
        <x:v>恒瑞医药</x:v>
      </x:c>
      <x:c r="H36" s="23" t="n">
        <x:v>34.79</x:v>
      </x:c>
      <x:c r="I36" s="23"/>
      <x:c r="J36" s="23" t="n">
        <x:v>45.03</x:v>
      </x:c>
      <x:c r="K36" s="23" t="n">
        <x:v>43.18</x:v>
      </x:c>
      <x:c r="L36" s="23"/>
    </x:row>
  </x:sheetData>
  <x:mergeCells>
    <x:mergeCell ref="A1:L2"/>
    <x:mergeCell ref="A3:L3"/>
    <x:mergeCell ref="A5:C8"/>
    <x:mergeCell ref="D5:F8"/>
    <x:mergeCell ref="G5:I8"/>
    <x:mergeCell ref="J5:L8"/>
    <x:mergeCell ref="A16:F16"/>
    <x:mergeCell ref="G16:L16"/>
  </x:mergeCells>
  <x:conditionalFormatting sqref="D11:D14">
    <x:cfRule type="colorScale" priority="1">
      <x:colorScale>
        <x:cfvo type="min"/>
        <x:cfvo type="percentile" val="50"/>
        <x:cfvo type="max"/>
        <x:color rgb="FFE2F0D9"/>
        <x:color rgb="FFFFF2CC"/>
        <x:color rgb="FFFCE4E4"/>
      </x:colorScale>
    </x:cfRule>
  </x:conditionalFormatting>
  <x:conditionalFormatting sqref="K11:K14">
    <x:cfRule type="containsText" dxfId="2" priority="2" operator="containsText" text="高"/>
    <x:cfRule type="containsText" dxfId="3" priority="3" operator="containsText" text="中"/>
  </x:conditionalFormatting>
  <x:pageMargins left="0.7" right="0.7" top="0.75" bottom="0.75" header="0.3" footer="0.3"/>
  <x:drawing xmlns:r="http://schemas.openxmlformats.org/officeDocument/2006/relationships" r:id="R056dfe7aaaa345bc"/>
  <x:legacyDrawing xmlns:r="http://schemas.openxmlformats.org/officeDocument/2006/relationships" r:id="R2e3978fce37b452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9" hidden="0" customWidth="1"/>
    <x:col min="4" max="4" width="10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0" hidden="0" customWidth="1"/>
    <x:col min="10" max="10" width="9" hidden="0" customWidth="1"/>
    <x:col min="11" max="11" width="10" hidden="0" customWidth="1"/>
    <x:col min="12" max="12" width="11" hidden="0" customWidth="1"/>
    <x:col min="13" max="13" width="9" hidden="0" customWidth="1"/>
    <x:col min="14" max="14" width="11" hidden="0" customWidth="1"/>
    <x:col min="15" max="15" width="11" hidden="0" customWidth="1"/>
    <x:col min="16" max="16" width="10" hidden="0" customWidth="1"/>
    <x:col min="17" max="17" width="11" hidden="0" customWidth="1"/>
    <x:col min="18" max="18" width="9" hidden="0" customWidth="1"/>
    <x:col min="19" max="19" width="9" hidden="0" customWidth="1"/>
    <x:col min="20" max="20" width="9" hidden="0" customWidth="1"/>
    <x:col min="21" max="21" width="11" hidden="0" customWidth="1"/>
    <x:col min="22" max="22" width="10" hidden="0" customWidth="1"/>
    <x:col min="23" max="23" width="18" hidden="0" customWidth="1"/>
    <x:col min="24" max="24" width="50" hidden="0" customWidth="1"/>
  </x:cols>
  <x:sheetData>
    <x:row r="1" ht="34" customHeight="1">
      <x:c r="A1" s="4" t="str">
        <x:v>叙事风险指标计算表</x:v>
      </x:c>
      <x:c r="B1" s="4" t="str">
        <x:v>叙事风险指标计算表</x:v>
      </x:c>
      <x:c r="C1" s="4" t="str">
        <x:v>叙事风险指标计算表</x:v>
      </x:c>
      <x:c r="D1" s="4" t="str">
        <x:v>叙事风险指标计算表</x:v>
      </x:c>
      <x:c r="E1" s="4" t="str">
        <x:v>叙事风险指标计算表</x:v>
      </x:c>
      <x:c r="F1" s="4" t="str">
        <x:v>叙事风险指标计算表</x:v>
      </x:c>
      <x:c r="G1" s="4" t="str">
        <x:v>叙事风险指标计算表</x:v>
      </x:c>
      <x:c r="H1" s="4" t="str">
        <x:v>叙事风险指标计算表</x:v>
      </x:c>
      <x:c r="I1" s="4" t="str">
        <x:v>叙事风险指标计算表</x:v>
      </x:c>
      <x:c r="J1" s="4" t="str">
        <x:v>叙事风险指标计算表</x:v>
      </x:c>
      <x:c r="K1" s="4" t="str">
        <x:v>叙事风险指标计算表</x:v>
      </x:c>
      <x:c r="L1" s="4" t="str">
        <x:v>叙事风险指标计算表</x:v>
      </x:c>
      <x:c r="M1" s="4" t="str">
        <x:v>叙事风险指标计算表</x:v>
      </x:c>
      <x:c r="N1" s="4" t="str">
        <x:v>叙事风险指标计算表</x:v>
      </x:c>
      <x:c r="O1" s="4" t="str">
        <x:v>叙事风险指标计算表</x:v>
      </x:c>
      <x:c r="P1" s="4" t="str">
        <x:v>叙事风险指标计算表</x:v>
      </x:c>
      <x:c r="Q1" s="4" t="str">
        <x:v>叙事风险指标计算表</x:v>
      </x:c>
      <x:c r="R1" s="4" t="str">
        <x:v>叙事风险指标计算表</x:v>
      </x:c>
      <x:c r="S1" s="4" t="str">
        <x:v>叙事风险指标计算表</x:v>
      </x:c>
      <x:c r="T1" s="4" t="str">
        <x:v>叙事风险指标计算表</x:v>
      </x:c>
      <x:c r="U1" s="4" t="str">
        <x:v>叙事风险指标计算表</x:v>
      </x:c>
      <x:c r="V1" s="4" t="str">
        <x:v>叙事风险指标计算表</x:v>
      </x:c>
      <x:c r="W1" s="4" t="str">
        <x:v>叙事风险指标计算表</x:v>
      </x:c>
      <x:c r="X1" s="4" t="str">
        <x:v>叙事风险指标计算表</x:v>
      </x:c>
    </x:row>
    <x:row r="2" ht="34" customHeight="1">
      <x:c r="A2" s="4" t="str">
        <x:v>叙事风险指标计算表</x:v>
      </x:c>
      <x:c r="B2" s="4" t="str">
        <x:v>叙事风险指标计算表</x:v>
      </x:c>
      <x:c r="C2" s="4" t="str">
        <x:v>叙事风险指标计算表</x:v>
      </x:c>
      <x:c r="D2" s="4" t="str">
        <x:v>叙事风险指标计算表</x:v>
      </x:c>
      <x:c r="E2" s="4" t="str">
        <x:v>叙事风险指标计算表</x:v>
      </x:c>
      <x:c r="F2" s="4" t="str">
        <x:v>叙事风险指标计算表</x:v>
      </x:c>
      <x:c r="G2" s="4" t="str">
        <x:v>叙事风险指标计算表</x:v>
      </x:c>
      <x:c r="H2" s="4" t="str">
        <x:v>叙事风险指标计算表</x:v>
      </x:c>
      <x:c r="I2" s="4" t="str">
        <x:v>叙事风险指标计算表</x:v>
      </x:c>
      <x:c r="J2" s="4" t="str">
        <x:v>叙事风险指标计算表</x:v>
      </x:c>
      <x:c r="K2" s="4" t="str">
        <x:v>叙事风险指标计算表</x:v>
      </x:c>
      <x:c r="L2" s="4" t="str">
        <x:v>叙事风险指标计算表</x:v>
      </x:c>
      <x:c r="M2" s="4" t="str">
        <x:v>叙事风险指标计算表</x:v>
      </x:c>
      <x:c r="N2" s="4" t="str">
        <x:v>叙事风险指标计算表</x:v>
      </x:c>
      <x:c r="O2" s="4" t="str">
        <x:v>叙事风险指标计算表</x:v>
      </x:c>
      <x:c r="P2" s="4" t="str">
        <x:v>叙事风险指标计算表</x:v>
      </x:c>
      <x:c r="Q2" s="4" t="str">
        <x:v>叙事风险指标计算表</x:v>
      </x:c>
      <x:c r="R2" s="4" t="str">
        <x:v>叙事风险指标计算表</x:v>
      </x:c>
      <x:c r="S2" s="4" t="str">
        <x:v>叙事风险指标计算表</x:v>
      </x:c>
      <x:c r="T2" s="4" t="str">
        <x:v>叙事风险指标计算表</x:v>
      </x:c>
      <x:c r="U2" s="4" t="str">
        <x:v>叙事风险指标计算表</x:v>
      </x:c>
      <x:c r="V2" s="4" t="str">
        <x:v>叙事风险指标计算表</x:v>
      </x:c>
      <x:c r="W2" s="4" t="str">
        <x:v>叙事风险指标计算表</x:v>
      </x:c>
      <x:c r="X2" s="4" t="str">
        <x:v>叙事风险指标计算表</x:v>
      </x:c>
    </x:row>
    <x:row r="3" ht="28" customHeight="1">
      <x:c r="A3" s="7" t="str">
        <x:v>PDQI按文档公式；ITAG为简化版且使用累计授权专利代理；TONE仅统计年度业绩说明会的管理层回答。缺失不补零。橙色列为公式结果。</x:v>
      </x:c>
      <x:c r="B3" s="7" t="str">
        <x:v>PDQI按文档公式；ITAG为简化版且使用累计授权专利代理；TONE仅统计年度业绩说明会的管理层回答。缺失不补零。橙色列为公式结果。</x:v>
      </x:c>
      <x:c r="C3" s="7" t="str">
        <x:v>PDQI按文档公式；ITAG为简化版且使用累计授权专利代理；TONE仅统计年度业绩说明会的管理层回答。缺失不补零。橙色列为公式结果。</x:v>
      </x:c>
      <x:c r="D3" s="7" t="str">
        <x:v>PDQI按文档公式；ITAG为简化版且使用累计授权专利代理；TONE仅统计年度业绩说明会的管理层回答。缺失不补零。橙色列为公式结果。</x:v>
      </x:c>
      <x:c r="E3" s="7" t="str">
        <x:v>PDQI按文档公式；ITAG为简化版且使用累计授权专利代理；TONE仅统计年度业绩说明会的管理层回答。缺失不补零。橙色列为公式结果。</x:v>
      </x:c>
      <x:c r="F3" s="7" t="str">
        <x:v>PDQI按文档公式；ITAG为简化版且使用累计授权专利代理；TONE仅统计年度业绩说明会的管理层回答。缺失不补零。橙色列为公式结果。</x:v>
      </x:c>
      <x:c r="G3" s="7" t="str">
        <x:v>PDQI按文档公式；ITAG为简化版且使用累计授权专利代理；TONE仅统计年度业绩说明会的管理层回答。缺失不补零。橙色列为公式结果。</x:v>
      </x:c>
      <x:c r="H3" s="7" t="str">
        <x:v>PDQI按文档公式；ITAG为简化版且使用累计授权专利代理；TONE仅统计年度业绩说明会的管理层回答。缺失不补零。橙色列为公式结果。</x:v>
      </x:c>
      <x:c r="I3" s="7" t="str">
        <x:v>PDQI按文档公式；ITAG为简化版且使用累计授权专利代理；TONE仅统计年度业绩说明会的管理层回答。缺失不补零。橙色列为公式结果。</x:v>
      </x:c>
      <x:c r="J3" s="7" t="str">
        <x:v>PDQI按文档公式；ITAG为简化版且使用累计授权专利代理；TONE仅统计年度业绩说明会的管理层回答。缺失不补零。橙色列为公式结果。</x:v>
      </x:c>
      <x:c r="K3" s="7" t="str">
        <x:v>PDQI按文档公式；ITAG为简化版且使用累计授权专利代理；TONE仅统计年度业绩说明会的管理层回答。缺失不补零。橙色列为公式结果。</x:v>
      </x:c>
      <x:c r="L3" s="7" t="str">
        <x:v>PDQI按文档公式；ITAG为简化版且使用累计授权专利代理；TONE仅统计年度业绩说明会的管理层回答。缺失不补零。橙色列为公式结果。</x:v>
      </x:c>
      <x:c r="M3" s="7" t="str">
        <x:v>PDQI按文档公式；ITAG为简化版且使用累计授权专利代理；TONE仅统计年度业绩说明会的管理层回答。缺失不补零。橙色列为公式结果。</x:v>
      </x:c>
      <x:c r="N3" s="7" t="str">
        <x:v>PDQI按文档公式；ITAG为简化版且使用累计授权专利代理；TONE仅统计年度业绩说明会的管理层回答。缺失不补零。橙色列为公式结果。</x:v>
      </x:c>
      <x:c r="O3" s="7" t="str">
        <x:v>PDQI按文档公式；ITAG为简化版且使用累计授权专利代理；TONE仅统计年度业绩说明会的管理层回答。缺失不补零。橙色列为公式结果。</x:v>
      </x:c>
      <x:c r="P3" s="7" t="str">
        <x:v>PDQI按文档公式；ITAG为简化版且使用累计授权专利代理；TONE仅统计年度业绩说明会的管理层回答。缺失不补零。橙色列为公式结果。</x:v>
      </x:c>
      <x:c r="Q3" s="7" t="str">
        <x:v>PDQI按文档公式；ITAG为简化版且使用累计授权专利代理；TONE仅统计年度业绩说明会的管理层回答。缺失不补零。橙色列为公式结果。</x:v>
      </x:c>
      <x:c r="R3" s="7" t="str">
        <x:v>PDQI按文档公式；ITAG为简化版且使用累计授权专利代理；TONE仅统计年度业绩说明会的管理层回答。缺失不补零。橙色列为公式结果。</x:v>
      </x:c>
      <x:c r="S3" s="7" t="str">
        <x:v>PDQI按文档公式；ITAG为简化版且使用累计授权专利代理；TONE仅统计年度业绩说明会的管理层回答。缺失不补零。橙色列为公式结果。</x:v>
      </x:c>
      <x:c r="T3" s="7" t="str">
        <x:v>PDQI按文档公式；ITAG为简化版且使用累计授权专利代理；TONE仅统计年度业绩说明会的管理层回答。缺失不补零。橙色列为公式结果。</x:v>
      </x:c>
      <x:c r="U3" s="7" t="str">
        <x:v>PDQI按文档公式；ITAG为简化版且使用累计授权专利代理；TONE仅统计年度业绩说明会的管理层回答。缺失不补零。橙色列为公式结果。</x:v>
      </x:c>
      <x:c r="V3" s="7" t="str">
        <x:v>PDQI按文档公式；ITAG为简化版且使用累计授权专利代理；TONE仅统计年度业绩说明会的管理层回答。缺失不补零。橙色列为公式结果。</x:v>
      </x:c>
      <x:c r="W3" s="7" t="str">
        <x:v>PDQI按文档公式；ITAG为简化版且使用累计授权专利代理；TONE仅统计年度业绩说明会的管理层回答。缺失不补零。橙色列为公式结果。</x:v>
      </x:c>
      <x:c r="X3" s="7" t="str">
        <x:v>PDQI按文档公式；ITAG为简化版且使用累计授权专利代理；TONE仅统计年度业绩说明会的管理层回答。缺失不补零。橙色列为公式结果。</x:v>
      </x:c>
    </x:row>
    <x:row r="4" ht="24" hidden="0" customHeight="1">
      <x:c r="A4" s="13" t="str">
        <x:v>企业</x:v>
      </x:c>
      <x:c r="B4" s="13" t="str">
        <x:v>文本有效词数</x:v>
      </x:c>
      <x:c r="C4" s="13" t="str">
        <x:v>IS原值</x:v>
      </x:c>
      <x:c r="D4" s="13" t="str">
        <x:v>IS归一化</x:v>
      </x:c>
      <x:c r="E4" s="13" t="str">
        <x:v>风险词数</x:v>
      </x:c>
      <x:c r="F4" s="13" t="str">
        <x:v>RDD</x:v>
      </x:c>
      <x:c r="G4" s="13" t="str">
        <x:v>模糊词数</x:v>
      </x:c>
      <x:c r="H4" s="13" t="str">
        <x:v>RCA</x:v>
      </x:c>
      <x:c r="I4" s="13" t="str">
        <x:v>数字出现数</x:v>
      </x:c>
      <x:c r="J4" s="13" t="str">
        <x:v>DSR</x:v>
      </x:c>
      <x:c r="K4" s="13" t="str">
        <x:v>PDQI</x:v>
      </x:c>
      <x:c r="L4" s="13" t="str">
        <x:v>PDQI风险%</x:v>
      </x:c>
      <x:c r="M4" s="13" t="str">
        <x:v>创新词数</x:v>
      </x:c>
      <x:c r="N4" s="13" t="str">
        <x:v>ITAG文本词数</x:v>
      </x:c>
      <x:c r="O4" s="13" t="str">
        <x:v>Talk/千词</x:v>
      </x:c>
      <x:c r="P4" s="13" t="str">
        <x:v>专利代理</x:v>
      </x:c>
      <x:c r="Q4" s="13" t="str">
        <x:v>ITAG-lite</x:v>
      </x:c>
      <x:c r="R4" s="13" t="str">
        <x:v>正向词</x:v>
      </x:c>
      <x:c r="S4" s="13" t="str">
        <x:v>负向词</x:v>
      </x:c>
      <x:c r="T4" s="13" t="str">
        <x:v>TONE</x:v>
      </x:c>
      <x:c r="U4" s="13" t="str">
        <x:v>语调风险%</x:v>
      </x:c>
      <x:c r="V4" s="13" t="str">
        <x:v>语调等级</x:v>
      </x:c>
      <x:c r="W4" s="13" t="str">
        <x:v>文本页码</x:v>
      </x:c>
      <x:c r="X4" s="13" t="str">
        <x:v>限制/说明</x:v>
      </x:c>
    </x:row>
    <x:row r="5" ht="64.80000305175781" hidden="0" customHeight="1">
      <x:c r="A5" s="17" t="str">
        <x:v>寒武纪</x:v>
      </x:c>
      <x:c r="B5" s="19" t="n">
        <x:v>11043</x:v>
      </x:c>
      <x:c r="C5" s="20" t="n">
        <x:v>1.1043</x:v>
      </x:c>
      <x:c r="D5" s="21" t="n">
        <x:f>MAX(0,MIN(1,(C5-0.5)/0.5))</x:f>
        <x:v>1</x:v>
      </x:c>
      <x:c r="E5" s="18" t="n">
        <x:v>48</x:v>
      </x:c>
      <x:c r="F5" s="22" t="n">
        <x:f>E5/B5</x:f>
        <x:v>0.004346644933441999</x:v>
      </x:c>
      <x:c r="G5" s="22" t="n">
        <x:v>57</x:v>
      </x:c>
      <x:c r="H5" s="22" t="n">
        <x:f>G5/B5</x:f>
        <x:v>0.005161640858462374</x:v>
      </x:c>
      <x:c r="I5" s="22" t="n">
        <x:v>818</x:v>
      </x:c>
      <x:c r="J5" s="22" t="n">
        <x:f>I5/B5</x:f>
        <x:v>0.07407407407407407</x:v>
      </x:c>
      <x:c r="K5" s="22" t="n">
        <x:f>0.25*(D5+F5+(1-H5)+J5)</x:f>
        <x:v>0.5183147695372634</x:v>
      </x:c>
      <x:c r="L5" s="22" t="n">
        <x:f>(1-K5)*100</x:f>
        <x:v>48.16852304627366</x:v>
      </x:c>
      <x:c r="M5" s="18" t="n">
        <x:v>738</x:v>
      </x:c>
      <x:c r="N5" s="18" t="n">
        <x:v>11043</x:v>
      </x:c>
      <x:c r="O5" s="22" t="n">
        <x:f>M5/N5*1000</x:f>
        <x:v>66.82966585167074</x:v>
      </x:c>
      <x:c r="P5" s="22" t="n">
        <x:v>1734</x:v>
      </x:c>
      <x:c r="Q5" s="22" t="n">
        <x:f>LN(1+O5)-LN(1+P5)</x:f>
        <x:v>-3.2417630436967784</x:v>
      </x:c>
      <x:c r="R5" s="18" t="n">
        <x:v>97</x:v>
      </x:c>
      <x:c r="S5" s="18" t="n">
        <x:v>12</x:v>
      </x:c>
      <x:c r="T5" s="22" t="n">
        <x:f>IFERROR((R5-S5)/(R5+S5),"")</x:f>
        <x:v>0.7798165137614679</x:v>
      </x:c>
      <x:c r="U5" s="22" t="n">
        <x:f>(1-T5)/2*100</x:f>
        <x:v>11.009174311926607</x:v>
      </x:c>
      <x:c r="V5" s="18" t="str">
        <x:f>IF(T5&lt;0,"高",IF(T5&lt;0.4,"中","低"))</x:f>
        <x:v>低</x:v>
      </x:c>
      <x:c r="W5" s="17" t="str">
        <x:v>13-38 / 13-38</x:v>
      </x:c>
      <x:c r="X5" s="17" t="str">
        <x:v>2025年末累计授权专利；2025年报13-38页；2025年度业绩说明会</x:v>
      </x:c>
    </x:row>
    <x:row r="6" ht="97.19999694824219" hidden="0" customHeight="1">
      <x:c r="A6" s="17" t="str">
        <x:v>燧原科技</x:v>
      </x:c>
      <x:c r="B6" s="19" t="n">
        <x:v>17814</x:v>
      </x:c>
      <x:c r="C6" s="20" t="n">
        <x:v>1.7814</x:v>
      </x:c>
      <x:c r="D6" s="21" t="n">
        <x:f>MAX(0,MIN(1,(C6-0.5)/0.5))</x:f>
        <x:v>1</x:v>
      </x:c>
      <x:c r="E6" s="18" t="n">
        <x:v>153</x:v>
      </x:c>
      <x:c r="F6" s="22" t="n">
        <x:f>E6/B6</x:f>
        <x:v>0.008588750421017177</x:v>
      </x:c>
      <x:c r="G6" s="22" t="n">
        <x:v>180</x:v>
      </x:c>
      <x:c r="H6" s="22" t="n">
        <x:f>G6/B6</x:f>
        <x:v>0.010104412260020209</x:v>
      </x:c>
      <x:c r="I6" s="22" t="n">
        <x:v>3679</x:v>
      </x:c>
      <x:c r="J6" s="22" t="n">
        <x:f>I6/B6</x:f>
        <x:v>0.2065229594700797</x:v>
      </x:c>
      <x:c r="K6" s="22" t="n">
        <x:f>0.25*(D6+F6+(1-H6)+J6)</x:f>
        <x:v>0.5512518244077691</x:v>
      </x:c>
      <x:c r="L6" s="22" t="n">
        <x:f>(1-K6)*100</x:f>
        <x:v>44.87481755922309</x:v>
      </x:c>
      <x:c r="M6" s="18" t="n">
        <x:v>1219</x:v>
      </x:c>
      <x:c r="N6" s="18" t="n">
        <x:v>19640</x:v>
      </x:c>
      <x:c r="O6" s="22" t="n">
        <x:f>M6/N6*1000</x:f>
        <x:v>62.06720977596741</x:v>
      </x:c>
      <x:c r="P6" s="22" t="n">
        <x:v>195</x:v>
      </x:c>
      <x:c r="Q6" s="22" t="n">
        <x:f>LN(1+O6)-LN(1+P6)</x:f>
        <x:v>-1.1339136796482556</x:v>
      </x:c>
      <x:c r="R6" s="18"/>
      <x:c r="S6" s="18"/>
      <x:c r="T6" s="22"/>
      <x:c r="U6" s="22"/>
      <x:c r="V6" s="18" t="str">
        <x:v>不可计算</x:v>
      </x:c>
      <x:c r="W6" s="17" t="str">
        <x:v>54-267 / 141-203</x:v>
      </x:c>
      <x:c r="X6" s="17" t="str">
        <x:v>招股书披露可产业化授权发明专利；招股书风险54-60页、管理层分析204-267页；无同口径说明会</x:v>
      </x:c>
    </x:row>
    <x:row r="7" ht="97.19999694824219" hidden="0" customHeight="1">
      <x:c r="A7" s="17" t="str">
        <x:v>华微电子</x:v>
      </x:c>
      <x:c r="B7" s="19" t="n">
        <x:v>5643</x:v>
      </x:c>
      <x:c r="C7" s="20" t="n">
        <x:v>0.5643</x:v>
      </x:c>
      <x:c r="D7" s="21" t="n">
        <x:f>MAX(0,MIN(1,(C7-0.5)/0.5))</x:f>
        <x:v>0.12860000000000005</x:v>
      </x:c>
      <x:c r="E7" s="18" t="n">
        <x:v>25</x:v>
      </x:c>
      <x:c r="F7" s="22" t="n">
        <x:f>E7/B7</x:f>
        <x:v>0.004430267588162325</x:v>
      </x:c>
      <x:c r="G7" s="22" t="n">
        <x:v>19</x:v>
      </x:c>
      <x:c r="H7" s="22" t="n">
        <x:f>G7/B7</x:f>
        <x:v>0.003367003367003367</x:v>
      </x:c>
      <x:c r="I7" s="22" t="n">
        <x:v>606</x:v>
      </x:c>
      <x:c r="J7" s="22" t="n">
        <x:f>I7/B7</x:f>
        <x:v>0.10738968633705476</x:v>
      </x:c>
      <x:c r="K7" s="22" t="n">
        <x:f>0.25*(D7+F7+(1-H7)+J7)</x:f>
        <x:v>0.30926323763955343</x:v>
      </x:c>
      <x:c r="L7" s="22" t="n">
        <x:f>(1-K7)*100</x:f>
        <x:v>69.07367623604466</x:v>
      </x:c>
      <x:c r="M7" s="18" t="n">
        <x:v>213</x:v>
      </x:c>
      <x:c r="N7" s="18" t="n">
        <x:v>5643</x:v>
      </x:c>
      <x:c r="O7" s="22" t="n">
        <x:f>M7/N7*1000</x:f>
        <x:v>37.74587985114301</x:v>
      </x:c>
      <x:c r="P7" s="22" t="n">
        <x:v>139</x:v>
      </x:c>
      <x:c r="Q7" s="22" t="n">
        <x:f>LN(1+O7)-LN(1+P7)</x:f>
        <x:v>-1.2846179988851185</x:v>
      </x:c>
      <x:c r="R7" s="18"/>
      <x:c r="S7" s="18"/>
      <x:c r="T7" s="22"/>
      <x:c r="U7" s="22"/>
      <x:c r="V7" s="18" t="str">
        <x:v>不可计算</x:v>
      </x:c>
      <x:c r="W7" s="17" t="str">
        <x:v>8-24 / 8-24</x:v>
      </x:c>
      <x:c r="X7" s="17" t="str">
        <x:v>2022年末累计有效专利估算（167-2023年新增28）；2022年报8-24页；活动页不公开历史互动全文</x:v>
      </x:c>
    </x:row>
    <x:row r="8" ht="75.5999984741211" hidden="0" customHeight="1">
      <x:c r="A8" s="17" t="str">
        <x:v>恒瑞医药</x:v>
      </x:c>
      <x:c r="B8" s="19" t="n">
        <x:v>26813</x:v>
      </x:c>
      <x:c r="C8" s="20" t="n">
        <x:v>2.6813</x:v>
      </x:c>
      <x:c r="D8" s="21" t="n">
        <x:f>MAX(0,MIN(1,(C8-0.5)/0.5))</x:f>
        <x:v>1</x:v>
      </x:c>
      <x:c r="E8" s="18" t="n">
        <x:v>75</x:v>
      </x:c>
      <x:c r="F8" s="22" t="n">
        <x:f>E8/B8</x:f>
        <x:v>0.0027971506358855777</x:v>
      </x:c>
      <x:c r="G8" s="22" t="n">
        <x:v>299</x:v>
      </x:c>
      <x:c r="H8" s="22" t="n">
        <x:f>G8/B8</x:f>
        <x:v>0.011151307201730503</x:v>
      </x:c>
      <x:c r="I8" s="22" t="n">
        <x:v>2621</x:v>
      </x:c>
      <x:c r="J8" s="22" t="n">
        <x:f>I8/B8</x:f>
        <x:v>0.09775109088874799</x:v>
      </x:c>
      <x:c r="K8" s="22" t="n">
        <x:f>0.25*(D8+F8+(1-H8)+J8)</x:f>
        <x:v>0.5223492335807257</x:v>
      </x:c>
      <x:c r="L8" s="22" t="n">
        <x:f>(1-K8)*100</x:f>
        <x:v>47.76507664192743</x:v>
      </x:c>
      <x:c r="M8" s="18" t="n">
        <x:v>999</x:v>
      </x:c>
      <x:c r="N8" s="18" t="n">
        <x:v>26482</x:v>
      </x:c>
      <x:c r="O8" s="22" t="n">
        <x:f>M8/N8*1000</x:f>
        <x:v>37.72373687787931</x:v>
      </x:c>
      <x:c r="P8" s="22" t="n">
        <x:v>2007</x:v>
      </x:c>
      <x:c r="Q8" s="22" t="n">
        <x:f>LN(1+O8)-LN(1+P8)</x:f>
        <x:v>-3.948441712784252</x:v>
      </x:c>
      <x:c r="R8" s="18" t="n">
        <x:v>61</x:v>
      </x:c>
      <x:c r="S8" s="18" t="n">
        <x:v>24</x:v>
      </x:c>
      <x:c r="T8" s="22" t="n">
        <x:f>IFERROR((R8-S8)/(R8+S8),"")</x:f>
        <x:v>0.43529411764705883</x:v>
      </x:c>
      <x:c r="U8" s="22" t="n">
        <x:f>(1-T8)/2*100</x:f>
        <x:v>28.235294117647058</x:v>
      </x:c>
      <x:c r="V8" s="18" t="str">
        <x:f>IF(T8&lt;0,"高",IF(T8&lt;0.4,"中","低"))</x:f>
        <x:v>低</x:v>
      </x:c>
      <x:c r="W8" s="17" t="str">
        <x:v>19-94 / 19-93</x:v>
      </x:c>
      <x:c r="X8" s="17" t="str">
        <x:v>2025年末境内外累计授权专利；2025年报19-94页；2025年度业绩说明会</x:v>
      </x:c>
    </x:row>
  </x:sheetData>
  <x:mergeCells>
    <x:mergeCell ref="A1:X2"/>
    <x:mergeCell ref="A3:X3"/>
  </x:mergeCells>
  <x:conditionalFormatting sqref="K5:K8">
    <x:cfRule type="colorScale" priority="1">
      <x:colorScale>
        <x:cfvo type="min"/>
        <x:cfvo type="percentile" val="50"/>
        <x:cfvo type="max"/>
        <x:color rgb="FFFCE4E4"/>
        <x:color rgb="FFFFF2CC"/>
        <x:color rgb="FFE2F0D9"/>
      </x:colorScale>
    </x:cfRule>
  </x:conditionalFormatting>
  <x:conditionalFormatting sqref="L5:L8">
    <x:cfRule type="colorScale" priority="2">
      <x:colorScale>
        <x:cfvo type="min"/>
        <x:cfvo type="percentile" val="50"/>
        <x:cfvo type="max"/>
        <x:color rgb="FFE2F0D9"/>
        <x:color rgb="FFFFF2CC"/>
        <x:color rgb="FFFCE4E4"/>
      </x:colorScale>
    </x:cfRule>
  </x:conditionalFormatting>
  <x:conditionalFormatting sqref="Q5:Q8">
    <x:cfRule type="cellIs" dxfId="0" priority="3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6" hidden="0" customWidth="1"/>
    <x:col min="4" max="4" width="12" hidden="0" customWidth="1"/>
    <x:col min="5" max="5" width="10" hidden="0" customWidth="1"/>
    <x:col min="6" max="6" width="8" hidden="0" customWidth="1"/>
    <x:col min="7" max="7" width="25" hidden="0" customWidth="1"/>
    <x:col min="8" max="8" width="14" hidden="0" customWidth="1"/>
    <x:col min="9" max="9" width="9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48" hidden="0" customWidth="1"/>
    <x:col min="15" max="15" width="28" hidden="0" customWidth="1"/>
    <x:col min="16" max="16" width="50" hidden="0" customWidth="1"/>
  </x:cols>
  <x:sheetData>
    <x:row r="1" ht="34" customHeight="1">
      <x:c r="A1" s="4" t="str">
        <x:v>客观风险基准（沿用上一版）</x:v>
      </x:c>
      <x:c r="B1" s="4" t="str">
        <x:v>客观风险基准（沿用上一版）</x:v>
      </x:c>
      <x:c r="C1" s="4" t="str">
        <x:v>客观风险基准（沿用上一版）</x:v>
      </x:c>
      <x:c r="D1" s="4" t="str">
        <x:v>客观风险基准（沿用上一版）</x:v>
      </x:c>
      <x:c r="E1" s="4" t="str">
        <x:v>客观风险基准（沿用上一版）</x:v>
      </x:c>
      <x:c r="F1" s="4" t="str">
        <x:v>客观风险基准（沿用上一版）</x:v>
      </x:c>
      <x:c r="G1" s="4" t="str">
        <x:v>客观风险基准（沿用上一版）</x:v>
      </x:c>
      <x:c r="H1" s="4" t="str">
        <x:v>客观风险基准（沿用上一版）</x:v>
      </x:c>
      <x:c r="I1" s="4" t="str">
        <x:v>客观风险基准（沿用上一版）</x:v>
      </x:c>
      <x:c r="J1" s="4" t="str">
        <x:v>客观风险基准（沿用上一版）</x:v>
      </x:c>
      <x:c r="K1" s="4" t="str">
        <x:v>客观风险基准（沿用上一版）</x:v>
      </x:c>
      <x:c r="L1" s="4" t="str">
        <x:v>客观风险基准（沿用上一版）</x:v>
      </x:c>
      <x:c r="M1" s="4" t="str">
        <x:v>客观风险基准（沿用上一版）</x:v>
      </x:c>
      <x:c r="N1" s="4" t="str">
        <x:v>客观风险基准（沿用上一版）</x:v>
      </x:c>
      <x:c r="O1" s="4" t="str">
        <x:v>客观风险基准（沿用上一版）</x:v>
      </x:c>
      <x:c r="P1" s="4" t="str">
        <x:v>客观风险基准（沿用上一版）</x:v>
      </x:c>
    </x:row>
    <x:row r="2" ht="34" customHeight="1">
      <x:c r="A2" s="4" t="str">
        <x:v>客观风险基准（沿用上一版）</x:v>
      </x:c>
      <x:c r="B2" s="4" t="str">
        <x:v>客观风险基准（沿用上一版）</x:v>
      </x:c>
      <x:c r="C2" s="4" t="str">
        <x:v>客观风险基准（沿用上一版）</x:v>
      </x:c>
      <x:c r="D2" s="4" t="str">
        <x:v>客观风险基准（沿用上一版）</x:v>
      </x:c>
      <x:c r="E2" s="4" t="str">
        <x:v>客观风险基准（沿用上一版）</x:v>
      </x:c>
      <x:c r="F2" s="4" t="str">
        <x:v>客观风险基准（沿用上一版）</x:v>
      </x:c>
      <x:c r="G2" s="4" t="str">
        <x:v>客观风险基准（沿用上一版）</x:v>
      </x:c>
      <x:c r="H2" s="4" t="str">
        <x:v>客观风险基准（沿用上一版）</x:v>
      </x:c>
      <x:c r="I2" s="4" t="str">
        <x:v>客观风险基准（沿用上一版）</x:v>
      </x:c>
      <x:c r="J2" s="4" t="str">
        <x:v>客观风险基准（沿用上一版）</x:v>
      </x:c>
      <x:c r="K2" s="4" t="str">
        <x:v>客观风险基准（沿用上一版）</x:v>
      </x:c>
      <x:c r="L2" s="4" t="str">
        <x:v>客观风险基准（沿用上一版）</x:v>
      </x:c>
      <x:c r="M2" s="4" t="str">
        <x:v>客观风险基准（沿用上一版）</x:v>
      </x:c>
      <x:c r="N2" s="4" t="str">
        <x:v>客观风险基准（沿用上一版）</x:v>
      </x:c>
      <x:c r="O2" s="4" t="str">
        <x:v>客观风险基准（沿用上一版）</x:v>
      </x:c>
      <x:c r="P2" s="4" t="str">
        <x:v>客观风险基准（沿用上一版）</x:v>
      </x:c>
    </x:row>
    <x:row r="3" ht="28" customHeight="1">
      <x:c r="A3" s="7" t="str">
        <x:v>方法版本 IRAWC-CRITIC-2026.08-v2；同业百分位与行业锚各占50%，两级CRITIC聚合；缺失不计零并在可用指标内重归一。总分为试点基准分，不是监管评级。</x:v>
      </x:c>
      <x:c r="B3" s="7" t="str">
        <x:v>方法版本 IRAWC-CRITIC-2026.08-v2；同业百分位与行业锚各占50%，两级CRITIC聚合；缺失不计零并在可用指标内重归一。总分为试点基准分，不是监管评级。</x:v>
      </x:c>
      <x:c r="C3" s="7" t="str">
        <x:v>方法版本 IRAWC-CRITIC-2026.08-v2；同业百分位与行业锚各占50%，两级CRITIC聚合；缺失不计零并在可用指标内重归一。总分为试点基准分，不是监管评级。</x:v>
      </x:c>
      <x:c r="D3" s="7" t="str">
        <x:v>方法版本 IRAWC-CRITIC-2026.08-v2；同业百分位与行业锚各占50%，两级CRITIC聚合；缺失不计零并在可用指标内重归一。总分为试点基准分，不是监管评级。</x:v>
      </x:c>
      <x:c r="E3" s="7" t="str">
        <x:v>方法版本 IRAWC-CRITIC-2026.08-v2；同业百分位与行业锚各占50%，两级CRITIC聚合；缺失不计零并在可用指标内重归一。总分为试点基准分，不是监管评级。</x:v>
      </x:c>
      <x:c r="F3" s="7" t="str">
        <x:v>方法版本 IRAWC-CRITIC-2026.08-v2；同业百分位与行业锚各占50%，两级CRITIC聚合；缺失不计零并在可用指标内重归一。总分为试点基准分，不是监管评级。</x:v>
      </x:c>
      <x:c r="G3" s="7" t="str">
        <x:v>方法版本 IRAWC-CRITIC-2026.08-v2；同业百分位与行业锚各占50%，两级CRITIC聚合；缺失不计零并在可用指标内重归一。总分为试点基准分，不是监管评级。</x:v>
      </x:c>
      <x:c r="H3" s="7" t="str">
        <x:v>方法版本 IRAWC-CRITIC-2026.08-v2；同业百分位与行业锚各占50%，两级CRITIC聚合；缺失不计零并在可用指标内重归一。总分为试点基准分，不是监管评级。</x:v>
      </x:c>
      <x:c r="I3" s="7" t="str">
        <x:v>方法版本 IRAWC-CRITIC-2026.08-v2；同业百分位与行业锚各占50%，两级CRITIC聚合；缺失不计零并在可用指标内重归一。总分为试点基准分，不是监管评级。</x:v>
      </x:c>
      <x:c r="J3" s="7" t="str">
        <x:v>方法版本 IRAWC-CRITIC-2026.08-v2；同业百分位与行业锚各占50%，两级CRITIC聚合；缺失不计零并在可用指标内重归一。总分为试点基准分，不是监管评级。</x:v>
      </x:c>
      <x:c r="K3" s="7" t="str">
        <x:v>方法版本 IRAWC-CRITIC-2026.08-v2；同业百分位与行业锚各占50%，两级CRITIC聚合；缺失不计零并在可用指标内重归一。总分为试点基准分，不是监管评级。</x:v>
      </x:c>
      <x:c r="L3" s="7" t="str">
        <x:v>方法版本 IRAWC-CRITIC-2026.08-v2；同业百分位与行业锚各占50%，两级CRITIC聚合；缺失不计零并在可用指标内重归一。总分为试点基准分，不是监管评级。</x:v>
      </x:c>
      <x:c r="M3" s="7" t="str">
        <x:v>方法版本 IRAWC-CRITIC-2026.08-v2；同业百分位与行业锚各占50%，两级CRITIC聚合；缺失不计零并在可用指标内重归一。总分为试点基准分，不是监管评级。</x:v>
      </x:c>
      <x:c r="N3" s="7" t="str">
        <x:v>方法版本 IRAWC-CRITIC-2026.08-v2；同业百分位与行业锚各占50%，两级CRITIC聚合；缺失不计零并在可用指标内重归一。总分为试点基准分，不是监管评级。</x:v>
      </x:c>
      <x:c r="O3" s="7" t="str">
        <x:v>方法版本 IRAWC-CRITIC-2026.08-v2；同业百分位与行业锚各占50%，两级CRITIC聚合；缺失不计零并在可用指标内重归一。总分为试点基准分，不是监管评级。</x:v>
      </x:c>
      <x:c r="P3" s="7" t="str">
        <x:v>方法版本 IRAWC-CRITIC-2026.08-v2；同业百分位与行业锚各占50%，两级CRITIC聚合；缺失不计零并在可用指标内重归一。总分为试点基准分，不是监管评级。</x:v>
      </x:c>
    </x:row>
    <x:row r="4" ht="15" hidden="0" customHeight="1">
      <x:c r="A4" s="13" t="str">
        <x:v>企业</x:v>
      </x:c>
      <x:c r="B4" s="13" t="str">
        <x:v>证券代码</x:v>
      </x:c>
      <x:c r="C4" s="13" t="str">
        <x:v>同业基准</x:v>
      </x:c>
      <x:c r="D4" s="13" t="str">
        <x:v>客观风险分</x:v>
      </x:c>
      <x:c r="E4" s="13" t="str">
        <x:v>覆盖率</x:v>
      </x:c>
      <x:c r="F4" s="13" t="str">
        <x:v>指标</x:v>
      </x:c>
      <x:c r="G4" s="13" t="str">
        <x:v>指标名称</x:v>
      </x:c>
      <x:c r="H4" s="13" t="str">
        <x:v>原始值</x:v>
      </x:c>
      <x:c r="I4" s="13" t="str">
        <x:v>单位</x:v>
      </x:c>
      <x:c r="J4" s="13" t="str">
        <x:v>风险百分位</x:v>
      </x:c>
      <x:c r="K4" s="13" t="str">
        <x:v>指标风险分</x:v>
      </x:c>
      <x:c r="L4" s="13" t="str">
        <x:v>同口径样本</x:v>
      </x:c>
      <x:c r="M4" s="13" t="str">
        <x:v>状态</x:v>
      </x:c>
      <x:c r="N4" s="13" t="str">
        <x:v>公式追踪</x:v>
      </x:c>
      <x:c r="O4" s="13" t="str">
        <x:v>来源ID</x:v>
      </x:c>
      <x:c r="P4" s="13" t="str">
        <x:v>限制</x:v>
      </x:c>
    </x:row>
    <x:row r="5" ht="21.600000381469727" hidden="0" customHeight="1">
      <x:c r="A5" s="17" t="str">
        <x:v>寒武纪</x:v>
      </x:c>
      <x:c r="B5" s="17" t="str">
        <x:v>688256</x:v>
      </x:c>
      <x:c r="C5" s="17" t="str">
        <x:v>芯片（数字+模拟芯片设计）</x:v>
      </x:c>
      <x:c r="D5" s="23" t="n">
        <x:v>47.27</x:v>
      </x:c>
      <x:c r="E5" s="23" t="n">
        <x:v>0.8889</x:v>
      </x:c>
      <x:c r="F5" s="17" t="str">
        <x:v>R05</x:v>
      </x:c>
      <x:c r="G5" s="17" t="str">
        <x:v>技术先进性—专利质量</x:v>
      </x:c>
      <x:c r="H5" s="17" t="n">
        <x:v>552</x:v>
      </x:c>
      <x:c r="I5" s="17" t="str">
        <x:v>项</x:v>
      </x:c>
      <x:c r="J5" s="23" t="n">
        <x:v>0.0556</x:v>
      </x:c>
      <x:c r="K5" s="23" t="n">
        <x:v>27.78</x:v>
      </x:c>
      <x:c r="L5" s="17" t="n">
        <x:v>37</x:v>
      </x:c>
      <x:c r="M5" s="17" t="str">
        <x:v>scored</x:v>
      </x:c>
      <x:c r="N5" s="17" t="str">
        <x:v>r_rel=0.0556；r=100×(0.5×0.5+0.5×0.0556)=27.78</x:v>
      </x:c>
      <x:c r="O5" s="17" t="str">
        <x:v>digital-chip:source-309</x:v>
      </x:c>
      <x:c r="P5" s="17" t="str">
        <x:v>当前使用有效/授权/专利存量代理，尚缺专利族、去自引前向引用和IPC年份标准化。</x:v>
      </x:c>
    </x:row>
    <x:row r="6" ht="15" hidden="0" customHeight="1">
      <x:c r="A6" s="17" t="str">
        <x:v>寒武纪</x:v>
      </x:c>
      <x:c r="B6" s="17" t="str">
        <x:v>688256</x:v>
      </x:c>
      <x:c r="C6" s="17" t="str">
        <x:v>芯片（数字+模拟芯片设计）</x:v>
      </x:c>
      <x:c r="D6" s="23" t="n">
        <x:v>47.27</x:v>
      </x:c>
      <x:c r="E6" s="23" t="n">
        <x:v>0.8889</x:v>
      </x:c>
      <x:c r="F6" s="17" t="str">
        <x:v>R06</x:v>
      </x:c>
      <x:c r="G6" s="17" t="str">
        <x:v>核心技术人员占比</x:v>
      </x:c>
      <x:c r="H6" s="17" t="n">
        <x:v>80.62</x:v>
      </x:c>
      <x:c r="I6" s="17" t="str">
        <x:v>%</x:v>
      </x:c>
      <x:c r="J6" s="23" t="n">
        <x:v>0.1154</x:v>
      </x:c>
      <x:c r="K6" s="23" t="n">
        <x:v>30.77</x:v>
      </x:c>
      <x:c r="L6" s="17" t="n">
        <x:v>66</x:v>
      </x:c>
      <x:c r="M6" s="17" t="str">
        <x:v>scored</x:v>
      </x:c>
      <x:c r="N6" s="17" t="str">
        <x:v>r_rel=0.1154；r=100×(0.5×0.5+0.5×0.1154)=30.77</x:v>
      </x:c>
      <x:c r="O6" s="17" t="str">
        <x:v>digital-chip:source-16</x:v>
      </x:c>
      <x:c r="P6" s="17" t="str">
        <x:v>以研发人员占比作为核心技术人员占比的统一代理。</x:v>
      </x:c>
    </x:row>
    <x:row r="7" ht="15" hidden="0" customHeight="1">
      <x:c r="A7" s="17" t="str">
        <x:v>寒武纪</x:v>
      </x:c>
      <x:c r="B7" s="17" t="str">
        <x:v>688256</x:v>
      </x:c>
      <x:c r="C7" s="17" t="str">
        <x:v>芯片（数字+模拟芯片设计）</x:v>
      </x:c>
      <x:c r="D7" s="23" t="n">
        <x:v>47.27</x:v>
      </x:c>
      <x:c r="E7" s="23" t="n">
        <x:v>0.8889</x:v>
      </x:c>
      <x:c r="F7" s="17" t="str">
        <x:v>R07</x:v>
      </x:c>
      <x:c r="G7" s="17" t="str">
        <x:v>研发投入强度与趋势</x:v>
      </x:c>
      <x:c r="H7" s="17" t="n">
        <x:v>11.72</x:v>
      </x:c>
      <x:c r="I7" s="17" t="str">
        <x:v>%</x:v>
      </x:c>
      <x:c r="J7" s="23" t="n">
        <x:v>0.8308</x:v>
      </x:c>
      <x:c r="K7" s="23" t="n">
        <x:v>66.54</x:v>
      </x:c>
      <x:c r="L7" s="17" t="n">
        <x:v>66</x:v>
      </x:c>
      <x:c r="M7" s="17" t="str">
        <x:v>scored</x:v>
      </x:c>
      <x:c r="N7" s="17" t="str">
        <x:v>r_rel=0.8308；r=100×(0.5×0.5+0.5×0.8308)=66.54</x:v>
      </x:c>
      <x:c r="O7" s="17" t="str">
        <x:v>digital-chip:source-16</x:v>
      </x:c>
      <x:c r="P7" s="17" t="str">
        <x:v>以最新研发投入强度做横截面基准，趋势信息作为后续解释。</x:v>
      </x:c>
    </x:row>
    <x:row r="8" ht="15" hidden="0" customHeight="1">
      <x:c r="A8" s="17" t="str">
        <x:v>寒武纪</x:v>
      </x:c>
      <x:c r="B8" s="17" t="str">
        <x:v>688256</x:v>
      </x:c>
      <x:c r="C8" s="17" t="str">
        <x:v>芯片（数字+模拟芯片设计）</x:v>
      </x:c>
      <x:c r="D8" s="23" t="n">
        <x:v>47.27</x:v>
      </x:c>
      <x:c r="E8" s="23" t="n">
        <x:v>0.8889</x:v>
      </x:c>
      <x:c r="F8" s="17" t="str">
        <x:v>R08</x:v>
      </x:c>
      <x:c r="G8" s="17" t="str">
        <x:v>研发/募投里程碑兑现度</x:v>
      </x:c>
      <x:c r="H8" s="17"/>
      <x:c r="I8" s="17" t="str">
        <x:v>次</x:v>
      </x:c>
      <x:c r="J8" s="23"/>
      <x:c r="K8" s="23"/>
      <x:c r="L8" s="17" t="n">
        <x:v>0</x:v>
      </x:c>
      <x:c r="M8" s="17" t="str">
        <x:v>missing</x:v>
      </x:c>
      <x:c r="N8" s="17" t="str">
        <x:v>当前企业缺少可用数值；不补零，其他指标仍参与基准计算。</x:v>
      </x:c>
      <x:c r="O8" s="17"/>
      <x:c r="P8" s="17" t="str">
        <x:v>以延期、负面或变更事件数代理未兑现程度，未获得统一加权兑现率。</x:v>
      </x:c>
    </x:row>
    <x:row r="9" ht="15" hidden="0" customHeight="1">
      <x:c r="A9" s="17" t="str">
        <x:v>寒武纪</x:v>
      </x:c>
      <x:c r="B9" s="17" t="str">
        <x:v>688256</x:v>
      </x:c>
      <x:c r="C9" s="17" t="str">
        <x:v>芯片（数字+模拟芯片设计）</x:v>
      </x:c>
      <x:c r="D9" s="23" t="n">
        <x:v>47.27</x:v>
      </x:c>
      <x:c r="E9" s="23" t="n">
        <x:v>0.8889</x:v>
      </x:c>
      <x:c r="F9" s="17" t="str">
        <x:v>R09</x:v>
      </x:c>
      <x:c r="G9" s="17" t="str">
        <x:v>重大技术与知识产权事件</x:v>
      </x:c>
      <x:c r="H9" s="17" t="n">
        <x:v>0</x:v>
      </x:c>
      <x:c r="I9" s="17" t="str">
        <x:v>项</x:v>
      </x:c>
      <x:c r="J9" s="23" t="n">
        <x:v>0.4571</x:v>
      </x:c>
      <x:c r="K9" s="23" t="n">
        <x:v>47.86</x:v>
      </x:c>
      <x:c r="L9" s="17" t="n">
        <x:v>36</x:v>
      </x:c>
      <x:c r="M9" s="17" t="str">
        <x:v>scored</x:v>
      </x:c>
      <x:c r="N9" s="17" t="str">
        <x:v>r_rel=0.4571；r=100×(0.5×0.5+0.5×0.4571)=47.86</x:v>
      </x:c>
      <x:c r="O9" s="17" t="str">
        <x:v>digital-chip:source-272</x:v>
      </x:c>
      <x:c r="P9" s="17" t="str">
        <x:v>不利状态和质量事件是事件数量代理，未建立损失、责任与时间系数。</x:v>
      </x:c>
    </x:row>
    <x:row r="10" ht="15" hidden="0" customHeight="1">
      <x:c r="A10" s="17" t="str">
        <x:v>寒武纪</x:v>
      </x:c>
      <x:c r="B10" s="17" t="str">
        <x:v>688256</x:v>
      </x:c>
      <x:c r="C10" s="17" t="str">
        <x:v>芯片（数字+模拟芯片设计）</x:v>
      </x:c>
      <x:c r="D10" s="23" t="n">
        <x:v>47.27</x:v>
      </x:c>
      <x:c r="E10" s="23" t="n">
        <x:v>0.8889</x:v>
      </x:c>
      <x:c r="F10" s="17" t="str">
        <x:v>R10</x:v>
      </x:c>
      <x:c r="G10" s="17" t="str">
        <x:v>监管处罚次数</x:v>
      </x:c>
      <x:c r="H10" s="17" t="n">
        <x:v>0</x:v>
      </x:c>
      <x:c r="I10" s="17" t="str">
        <x:v>条</x:v>
      </x:c>
      <x:c r="J10" s="23" t="n">
        <x:v>0.4444</x:v>
      </x:c>
      <x:c r="K10" s="23" t="n">
        <x:v>47.22</x:v>
      </x:c>
      <x:c r="L10" s="17" t="n">
        <x:v>37</x:v>
      </x:c>
      <x:c r="M10" s="17" t="str">
        <x:v>scored</x:v>
      </x:c>
      <x:c r="N10" s="17" t="str">
        <x:v>r_rel=0.4444；r=100×(0.5×0.5+0.5×0.4444)=47.22</x:v>
      </x:c>
      <x:c r="O10" s="17" t="str">
        <x:v>digital-chip:source-235</x:v>
      </x:c>
      <x:c r="P10" s="17" t="str">
        <x:v>累计处罚代理不完全等同于单季度处罚次数。</x:v>
      </x:c>
    </x:row>
    <x:row r="11" ht="15" hidden="0" customHeight="1">
      <x:c r="A11" s="17" t="str">
        <x:v>寒武纪</x:v>
      </x:c>
      <x:c r="B11" s="17" t="str">
        <x:v>688256</x:v>
      </x:c>
      <x:c r="C11" s="17" t="str">
        <x:v>芯片（数字+模拟芯片设计）</x:v>
      </x:c>
      <x:c r="D11" s="23" t="n">
        <x:v>47.27</x:v>
      </x:c>
      <x:c r="E11" s="23" t="n">
        <x:v>0.8889</x:v>
      </x:c>
      <x:c r="F11" s="17" t="str">
        <x:v>R11</x:v>
      </x:c>
      <x:c r="G11" s="17" t="str">
        <x:v>交易所问询次数</x:v>
      </x:c>
      <x:c r="H11" s="17" t="n">
        <x:v>0</x:v>
      </x:c>
      <x:c r="I11" s="17" t="str">
        <x:v>个主题</x:v>
      </x:c>
      <x:c r="J11" s="23" t="n">
        <x:v>0.373</x:v>
      </x:c>
      <x:c r="K11" s="23" t="n">
        <x:v>43.65</x:v>
      </x:c>
      <x:c r="L11" s="17" t="n">
        <x:v>64</x:v>
      </x:c>
      <x:c r="M11" s="17" t="str">
        <x:v>scored</x:v>
      </x:c>
      <x:c r="N11" s="17" t="str">
        <x:v>r_rel=0.373；r=100×(0.5×0.5+0.5×0.373)=43.65</x:v>
      </x:c>
      <x:c r="O11" s="17" t="str">
        <x:v>digital-chip:source-87</x:v>
      </x:c>
      <x:c r="P11" s="17" t="str">
        <x:v>按同口径报告期问询主题数进行行业内比较。</x:v>
      </x:c>
    </x:row>
    <x:row r="12" ht="15" hidden="0" customHeight="1">
      <x:c r="A12" s="17" t="str">
        <x:v>寒武纪</x:v>
      </x:c>
      <x:c r="B12" s="17" t="str">
        <x:v>688256</x:v>
      </x:c>
      <x:c r="C12" s="17" t="str">
        <x:v>芯片（数字+模拟芯片设计）</x:v>
      </x:c>
      <x:c r="D12" s="23" t="n">
        <x:v>47.27</x:v>
      </x:c>
      <x:c r="E12" s="23" t="n">
        <x:v>0.8889</x:v>
      </x:c>
      <x:c r="F12" s="17" t="str">
        <x:v>R12</x:v>
      </x:c>
      <x:c r="G12" s="17" t="str">
        <x:v>诉讼风险</x:v>
      </x:c>
      <x:c r="H12" s="17" t="n">
        <x:v>2</x:v>
      </x:c>
      <x:c r="I12" s="17" t="str">
        <x:v>件</x:v>
      </x:c>
      <x:c r="J12" s="23" t="n">
        <x:v>0.9444</x:v>
      </x:c>
      <x:c r="K12" s="23" t="n">
        <x:v>72.22</x:v>
      </x:c>
      <x:c r="L12" s="17" t="n">
        <x:v>37</x:v>
      </x:c>
      <x:c r="M12" s="17" t="str">
        <x:v>scored</x:v>
      </x:c>
      <x:c r="N12" s="17" t="str">
        <x:v>r_rel=0.9444；r=100×(0.5×0.5+0.5×0.9444)=72.22</x:v>
      </x:c>
      <x:c r="O12" s="17" t="str">
        <x:v>digital-chip:source-235</x:v>
      </x:c>
      <x:c r="P12" s="17" t="str">
        <x:v>不同来源分别比较案件总数、被告判决或重大诉讼披露，未统一金额占营收口径。</x:v>
      </x:c>
    </x:row>
    <x:row r="13" ht="15" hidden="0" customHeight="1">
      <x:c r="A13" s="17" t="str">
        <x:v>寒武纪</x:v>
      </x:c>
      <x:c r="B13" s="17" t="str">
        <x:v>688256</x:v>
      </x:c>
      <x:c r="C13" s="17" t="str">
        <x:v>芯片（数字+模拟芯片设计）</x:v>
      </x:c>
      <x:c r="D13" s="23" t="n">
        <x:v>47.27</x:v>
      </x:c>
      <x:c r="E13" s="23" t="n">
        <x:v>0.8889</x:v>
      </x:c>
      <x:c r="F13" s="17" t="str">
        <x:v>R13</x:v>
      </x:c>
      <x:c r="G13" s="17" t="str">
        <x:v>营业收入增长率</x:v>
      </x:c>
      <x:c r="H13" s="17" t="n">
        <x:v>108.133137</x:v>
      </x:c>
      <x:c r="I13" s="17" t="str">
        <x:v>%</x:v>
      </x:c>
      <x:c r="J13" s="23" t="n">
        <x:v>0.0923</x:v>
      </x:c>
      <x:c r="K13" s="23" t="n">
        <x:v>29.62</x:v>
      </x:c>
      <x:c r="L13" s="17" t="n">
        <x:v>66</x:v>
      </x:c>
      <x:c r="M13" s="17" t="str">
        <x:v>scored</x:v>
      </x:c>
      <x:c r="N13" s="17" t="str">
        <x:v>r_rel=0.0923；r=100×(0.5×0.5+0.5×0.0923)=29.62</x:v>
      </x:c>
      <x:c r="O13" s="17" t="str">
        <x:v>digital-chip:source-16</x:v>
      </x:c>
      <x:c r="P13" s="17" t="str">
        <x:v>使用最新可比报告期的营业收入同比增长率。</x:v>
      </x:c>
    </x:row>
    <x:row r="14" ht="15" hidden="0" customHeight="1">
      <x:c r="A14" s="17" t="str">
        <x:v>寒武纪</x:v>
      </x:c>
      <x:c r="B14" s="17" t="str">
        <x:v>688256</x:v>
      </x:c>
      <x:c r="C14" s="17" t="str">
        <x:v>芯片（数字+模拟芯片设计）</x:v>
      </x:c>
      <x:c r="D14" s="23" t="n">
        <x:v>47.27</x:v>
      </x:c>
      <x:c r="E14" s="23" t="n">
        <x:v>0.8889</x:v>
      </x:c>
      <x:c r="F14" s="17" t="str">
        <x:v>R14</x:v>
      </x:c>
      <x:c r="G14" s="17" t="str">
        <x:v>无形资产减值风险</x:v>
      </x:c>
      <x:c r="H14" s="17" t="n">
        <x:v>-0.349998</x:v>
      </x:c>
      <x:c r="I14" s="17" t="str">
        <x:v>百分点</x:v>
      </x:c>
      <x:c r="J14" s="23" t="n">
        <x:v>0.1224</x:v>
      </x:c>
      <x:c r="K14" s="23" t="n">
        <x:v>31.12</x:v>
      </x:c>
      <x:c r="L14" s="17" t="n">
        <x:v>50</x:v>
      </x:c>
      <x:c r="M14" s="17" t="str">
        <x:v>scored</x:v>
      </x:c>
      <x:c r="N14" s="17" t="str">
        <x:v>r_rel=0.1224；r=100×(0.5×0.5+0.5×0.1224)=31.12</x:v>
      </x:c>
      <x:c r="O14" s="17" t="str">
        <x:v>digital-chip:source-16</x:v>
      </x:c>
      <x:c r="P14" s="17" t="str">
        <x:v>同口径比较无形资产占比变动或占比水平，不能替代正式减值测试。</x:v>
      </x:c>
    </x:row>
    <x:row r="15" ht="15" hidden="0" customHeight="1">
      <x:c r="A15" s="17" t="str">
        <x:v>寒武纪</x:v>
      </x:c>
      <x:c r="B15" s="17" t="str">
        <x:v>688256</x:v>
      </x:c>
      <x:c r="C15" s="17" t="str">
        <x:v>芯片（数字+模拟芯片设计）</x:v>
      </x:c>
      <x:c r="D15" s="23" t="n">
        <x:v>47.27</x:v>
      </x:c>
      <x:c r="E15" s="23" t="n">
        <x:v>0.8889</x:v>
      </x:c>
      <x:c r="F15" s="17" t="str">
        <x:v>R15</x:v>
      </x:c>
      <x:c r="G15" s="17" t="str">
        <x:v>融资成本</x:v>
      </x:c>
      <x:c r="H15" s="17" t="n">
        <x:v>7.517217</x:v>
      </x:c>
      <x:c r="I15" s="17" t="str">
        <x:v>%</x:v>
      </x:c>
      <x:c r="J15" s="23" t="n">
        <x:v>0.9231</x:v>
      </x:c>
      <x:c r="K15" s="23" t="n">
        <x:v>71.16</x:v>
      </x:c>
      <x:c r="L15" s="17" t="n">
        <x:v>27</x:v>
      </x:c>
      <x:c r="M15" s="17" t="str">
        <x:v>scored</x:v>
      </x:c>
      <x:c r="N15" s="17" t="str">
        <x:v>r_rel=0.9231；r=100×(0.5×0.5+0.5×0.9231)=71.16</x:v>
      </x:c>
      <x:c r="O15" s="17" t="str">
        <x:v>digital-chip:source-15</x:v>
      </x:c>
      <x:c r="P15" s="17" t="str">
        <x:v>债务成本率与利息支出分别在同口径样本内排名，未形成完整WACC。</x:v>
      </x:c>
    </x:row>
    <x:row r="16" ht="15" hidden="0" customHeight="1">
      <x:c r="A16" s="17" t="str">
        <x:v>寒武纪</x:v>
      </x:c>
      <x:c r="B16" s="17" t="str">
        <x:v>688256</x:v>
      </x:c>
      <x:c r="C16" s="17" t="str">
        <x:v>芯片（数字+模拟芯片设计）</x:v>
      </x:c>
      <x:c r="D16" s="23" t="n">
        <x:v>47.27</x:v>
      </x:c>
      <x:c r="E16" s="23" t="n">
        <x:v>0.8889</x:v>
      </x:c>
      <x:c r="F16" s="17" t="str">
        <x:v>R16</x:v>
      </x:c>
      <x:c r="G16" s="17" t="str">
        <x:v>经营现金流与短期偿债压力</x:v>
      </x:c>
      <x:c r="H16" s="17" t="n">
        <x:v>18.355841</x:v>
      </x:c>
      <x:c r="I16" s="17" t="str">
        <x:v>倍</x:v>
      </x:c>
      <x:c r="J16" s="23" t="n">
        <x:v>0.0167</x:v>
      </x:c>
      <x:c r="K16" s="23" t="n">
        <x:v>25.84</x:v>
      </x:c>
      <x:c r="L16" s="17" t="n">
        <x:v>61</x:v>
      </x:c>
      <x:c r="M16" s="17" t="str">
        <x:v>scored</x:v>
      </x:c>
      <x:c r="N16" s="17" t="str">
        <x:v>r_rel=0.0167；r=100×(0.5×0.5+0.5×0.0167)=25.84</x:v>
      </x:c>
      <x:c r="O16" s="17" t="str">
        <x:v>digital-chip:source-16</x:v>
      </x:c>
      <x:c r="P16" s="17" t="str">
        <x:v>优先使用经营现金流短债覆盖率，缺失时使用现金短债比。</x:v>
      </x:c>
    </x:row>
    <x:row r="17" ht="15" hidden="0" customHeight="1">
      <x:c r="A17" s="17" t="str">
        <x:v>寒武纪</x:v>
      </x:c>
      <x:c r="B17" s="17" t="str">
        <x:v>688256</x:v>
      </x:c>
      <x:c r="C17" s="17" t="str">
        <x:v>芯片（数字+模拟芯片设计）</x:v>
      </x:c>
      <x:c r="D17" s="23" t="n">
        <x:v>47.27</x:v>
      </x:c>
      <x:c r="E17" s="23" t="n">
        <x:v>0.8889</x:v>
      </x:c>
      <x:c r="F17" s="17" t="str">
        <x:v>R17</x:v>
      </x:c>
      <x:c r="G17" s="17" t="str">
        <x:v>关键供应链进口依赖度</x:v>
      </x:c>
      <x:c r="H17" s="17" t="n">
        <x:v>5</x:v>
      </x:c>
      <x:c r="I17" s="17" t="str">
        <x:v>家</x:v>
      </x:c>
      <x:c r="J17" s="23" t="n">
        <x:v>0.3</x:v>
      </x:c>
      <x:c r="K17" s="23" t="n">
        <x:v>40</x:v>
      </x:c>
      <x:c r="L17" s="17" t="n">
        <x:v>6</x:v>
      </x:c>
      <x:c r="M17" s="17" t="str">
        <x:v>scored</x:v>
      </x:c>
      <x:c r="N17" s="17" t="str">
        <x:v>r_rel=0.3；r=100×(0.5×0.5+0.5×0.3)=40</x:v>
      </x:c>
      <x:c r="O17" s="17" t="str">
        <x:v>digital-chip:source-272</x:v>
      </x:c>
      <x:c r="P17" s="17" t="str">
        <x:v>以已核验境内供应商数代理，样本较小且注册地不等于生产国。</x:v>
      </x:c>
    </x:row>
    <x:row r="18" ht="15" hidden="0" customHeight="1">
      <x:c r="A18" s="17" t="str">
        <x:v>寒武纪</x:v>
      </x:c>
      <x:c r="B18" s="17" t="str">
        <x:v>688256</x:v>
      </x:c>
      <x:c r="C18" s="17" t="str">
        <x:v>芯片（数字+模拟芯片设计）</x:v>
      </x:c>
      <x:c r="D18" s="23" t="n">
        <x:v>47.27</x:v>
      </x:c>
      <x:c r="E18" s="23" t="n">
        <x:v>0.8889</x:v>
      </x:c>
      <x:c r="F18" s="17" t="str">
        <x:v>R18</x:v>
      </x:c>
      <x:c r="G18" s="17" t="str">
        <x:v>海外业务收入占比</x:v>
      </x:c>
      <x:c r="H18" s="17" t="n">
        <x:v>0.001032</x:v>
      </x:c>
      <x:c r="I18" s="17" t="str">
        <x:v>%</x:v>
      </x:c>
      <x:c r="J18" s="23" t="n">
        <x:v>0</x:v>
      </x:c>
      <x:c r="K18" s="23" t="n">
        <x:v>25</x:v>
      </x:c>
      <x:c r="L18" s="17" t="n">
        <x:v>36</x:v>
      </x:c>
      <x:c r="M18" s="17" t="str">
        <x:v>scored</x:v>
      </x:c>
      <x:c r="N18" s="17" t="str">
        <x:v>r_rel=0；r=100×(0.5×0.5+0.5×0)=25</x:v>
      </x:c>
      <x:c r="O18" s="17" t="str">
        <x:v>digital-chip:source-15</x:v>
      </x:c>
      <x:c r="P18" s="17" t="str">
        <x:v>海外收入暴露不等同于实际损失，需与管制命中联合解释。</x:v>
      </x:c>
    </x:row>
    <x:row r="19" ht="15" hidden="0" customHeight="1">
      <x:c r="A19" s="17" t="str">
        <x:v>寒武纪</x:v>
      </x:c>
      <x:c r="B19" s="17" t="str">
        <x:v>688256</x:v>
      </x:c>
      <x:c r="C19" s="17" t="str">
        <x:v>芯片（数字+模拟芯片设计）</x:v>
      </x:c>
      <x:c r="D19" s="23" t="n">
        <x:v>47.27</x:v>
      </x:c>
      <x:c r="E19" s="23" t="n">
        <x:v>0.8889</x:v>
      </x:c>
      <x:c r="F19" s="17" t="str">
        <x:v>R19</x:v>
      </x:c>
      <x:c r="G19" s="17" t="str">
        <x:v>出口管制与制裁暴露度</x:v>
      </x:c>
      <x:c r="H19" s="17" t="n">
        <x:v>1</x:v>
      </x:c>
      <x:c r="I19" s="17" t="str">
        <x:v>类清单</x:v>
      </x:c>
      <x:c r="J19" s="23" t="n">
        <x:v>0.9603</x:v>
      </x:c>
      <x:c r="K19" s="23" t="n">
        <x:v>73.02</x:v>
      </x:c>
      <x:c r="L19" s="17" t="n">
        <x:v>64</x:v>
      </x:c>
      <x:c r="M19" s="17" t="str">
        <x:v>scored</x:v>
      </x:c>
      <x:c r="N19" s="17" t="str">
        <x:v>r_rel=0.9603；r=100×(0.5×0.5+0.5×0.9603)=73.02</x:v>
      </x:c>
      <x:c r="O19" s="17" t="str">
        <x:v>digital-chip:source-74</x:v>
      </x:c>
      <x:c r="P19" s="17" t="str">
        <x:v>合并美国CSL与欧盟FSD精确命中数；尚缺BOM/ECCN影响比例和集团穿透。</x:v>
      </x:c>
    </x:row>
    <x:row r="20" ht="15" hidden="0" customHeight="1">
      <x:c r="A20" s="17" t="str">
        <x:v>寒武纪</x:v>
      </x:c>
      <x:c r="B20" s="17" t="str">
        <x:v>688256</x:v>
      </x:c>
      <x:c r="C20" s="17" t="str">
        <x:v>芯片（数字+模拟芯片设计）</x:v>
      </x:c>
      <x:c r="D20" s="23" t="n">
        <x:v>47.27</x:v>
      </x:c>
      <x:c r="E20" s="23" t="n">
        <x:v>0.8889</x:v>
      </x:c>
      <x:c r="F20" s="17" t="str">
        <x:v>R20</x:v>
      </x:c>
      <x:c r="G20" s="17" t="str">
        <x:v>控制权稀释与稳定性</x:v>
      </x:c>
      <x:c r="H20" s="17"/>
      <x:c r="I20" s="17" t="str">
        <x:v>%</x:v>
      </x:c>
      <x:c r="J20" s="23"/>
      <x:c r="K20" s="23"/>
      <x:c r="L20" s="17" t="n">
        <x:v>0</x:v>
      </x:c>
      <x:c r="M20" s="17" t="str">
        <x:v>missing</x:v>
      </x:c>
      <x:c r="N20" s="17" t="str">
        <x:v>当前企业缺少可用数值；不补零，其他指标仍参与基准计算。</x:v>
      </x:c>
      <x:c r="O20" s="17"/>
      <x:c r="P20" s="17" t="str">
        <x:v>以可获得的最大控制人持股比例代理，尚缺表决权协议和一致行动关系。</x:v>
      </x:c>
    </x:row>
    <x:row r="21" ht="15" hidden="0" customHeight="1">
      <x:c r="A21" s="17" t="str">
        <x:v>寒武纪</x:v>
      </x:c>
      <x:c r="B21" s="17" t="str">
        <x:v>688256</x:v>
      </x:c>
      <x:c r="C21" s="17" t="str">
        <x:v>芯片（数字+模拟芯片设计）</x:v>
      </x:c>
      <x:c r="D21" s="23" t="n">
        <x:v>47.27</x:v>
      </x:c>
      <x:c r="E21" s="23" t="n">
        <x:v>0.8889</x:v>
      </x:c>
      <x:c r="F21" s="17" t="str">
        <x:v>R21</x:v>
      </x:c>
      <x:c r="G21" s="17" t="str">
        <x:v>高管关联风险暴露度</x:v>
      </x:c>
      <x:c r="H21" s="17" t="n">
        <x:v>1532</x:v>
      </x:c>
      <x:c r="I21" s="17" t="str">
        <x:v>条</x:v>
      </x:c>
      <x:c r="J21" s="23" t="n">
        <x:v>0.8611</x:v>
      </x:c>
      <x:c r="K21" s="23" t="n">
        <x:v>68.05</x:v>
      </x:c>
      <x:c r="L21" s="17" t="n">
        <x:v>37</x:v>
      </x:c>
      <x:c r="M21" s="17" t="str">
        <x:v>scored</x:v>
      </x:c>
      <x:c r="N21" s="17" t="str">
        <x:v>r_rel=0.8611；r=100×(0.5×0.5+0.5×0.8611)=68.05</x:v>
      </x:c>
      <x:c r="O21" s="17" t="str">
        <x:v>digital-chip:source-235</x:v>
      </x:c>
      <x:c r="P21" s="17" t="str">
        <x:v>以企业/境内主体风险聚合代理高管关联暴露，关联风险不等于人员本人违法。</x:v>
      </x:c>
    </x:row>
    <x:row r="22" ht="15" hidden="0" customHeight="1">
      <x:c r="A22" s="17" t="str">
        <x:v>寒武纪</x:v>
      </x:c>
      <x:c r="B22" s="17" t="str">
        <x:v>688256</x:v>
      </x:c>
      <x:c r="C22" s="17" t="str">
        <x:v>芯片（数字+模拟芯片设计）</x:v>
      </x:c>
      <x:c r="D22" s="23" t="n">
        <x:v>47.27</x:v>
      </x:c>
      <x:c r="E22" s="23" t="n">
        <x:v>0.8889</x:v>
      </x:c>
      <x:c r="F22" s="17" t="str">
        <x:v>R22</x:v>
      </x:c>
      <x:c r="G22" s="17" t="str">
        <x:v>关键管理与技术人员稳定性</x:v>
      </x:c>
      <x:c r="H22" s="17" t="n">
        <x:v>0</x:v>
      </x:c>
      <x:c r="I22" s="17" t="str">
        <x:v>人/事件</x:v>
      </x:c>
      <x:c r="J22" s="23" t="n">
        <x:v>0.4677</x:v>
      </x:c>
      <x:c r="K22" s="23" t="n">
        <x:v>48.38</x:v>
      </x:c>
      <x:c r="L22" s="17" t="n">
        <x:v>63</x:v>
      </x:c>
      <x:c r="M22" s="17" t="str">
        <x:v>scored</x:v>
      </x:c>
      <x:c r="N22" s="17" t="str">
        <x:v>r_rel=0.4677；r=100×(0.5×0.5+0.5×0.4677)=48.38</x:v>
      </x:c>
      <x:c r="O22" s="17" t="str">
        <x:v>digital-chip:source-16</x:v>
      </x:c>
      <x:c r="P22" s="17" t="str">
        <x:v>以核心技术人员离职/变更事件数代理流失率，尚缺统一期初人数分母。</x:v>
      </x:c>
    </x:row>
    <x:row r="23" ht="21.600000381469727" hidden="0" customHeight="1">
      <x:c r="A23" s="17" t="str">
        <x:v>燧原科技</x:v>
      </x:c>
      <x:c r="B23" s="17" t="str">
        <x:v>688801</x:v>
      </x:c>
      <x:c r="C23" s="17" t="str">
        <x:v>芯片（数字+模拟芯片设计）</x:v>
      </x:c>
      <x:c r="D23" s="23" t="n">
        <x:v>46.75</x:v>
      </x:c>
      <x:c r="E23" s="23" t="n">
        <x:v>0.5</x:v>
      </x:c>
      <x:c r="F23" s="17" t="str">
        <x:v>R05</x:v>
      </x:c>
      <x:c r="G23" s="17" t="str">
        <x:v>技术先进性—专利质量</x:v>
      </x:c>
      <x:c r="H23" s="17" t="n">
        <x:v>195</x:v>
      </x:c>
      <x:c r="I23" s="17" t="str">
        <x:v>项</x:v>
      </x:c>
      <x:c r="J23" s="23" t="n">
        <x:v>0.5</x:v>
      </x:c>
      <x:c r="K23" s="23" t="n">
        <x:v>50</x:v>
      </x:c>
      <x:c r="L23" s="17" t="n">
        <x:v>29</x:v>
      </x:c>
      <x:c r="M23" s="17" t="str">
        <x:v>scored</x:v>
      </x:c>
      <x:c r="N23" s="17" t="str">
        <x:v>r_rel=0.5；r=100×(0.5×0.5+0.5×0.5)=50</x:v>
      </x:c>
      <x:c r="O23" s="17" t="str">
        <x:v>pilot-source-enflame-prospectus</x:v>
      </x:c>
      <x:c r="P23" s="17" t="str">
        <x:v>当前使用有效/授权/专利存量代理，尚缺专利族、去自引前向引用和IPC年份标准化。</x:v>
      </x:c>
    </x:row>
    <x:row r="24" ht="15" hidden="0" customHeight="1">
      <x:c r="A24" s="17" t="str">
        <x:v>燧原科技</x:v>
      </x:c>
      <x:c r="B24" s="17" t="str">
        <x:v>688801</x:v>
      </x:c>
      <x:c r="C24" s="17" t="str">
        <x:v>芯片（数字+模拟芯片设计）</x:v>
      </x:c>
      <x:c r="D24" s="23" t="n">
        <x:v>46.75</x:v>
      </x:c>
      <x:c r="E24" s="23" t="n">
        <x:v>0.5</x:v>
      </x:c>
      <x:c r="F24" s="17" t="str">
        <x:v>R06</x:v>
      </x:c>
      <x:c r="G24" s="17" t="str">
        <x:v>核心技术人员占比</x:v>
      </x:c>
      <x:c r="H24" s="17" t="n">
        <x:v>76.73</x:v>
      </x:c>
      <x:c r="I24" s="17" t="str">
        <x:v>%</x:v>
      </x:c>
      <x:c r="J24" s="23" t="n">
        <x:v>0.1538</x:v>
      </x:c>
      <x:c r="K24" s="23" t="n">
        <x:v>32.69</x:v>
      </x:c>
      <x:c r="L24" s="17" t="n">
        <x:v>66</x:v>
      </x:c>
      <x:c r="M24" s="17" t="str">
        <x:v>scored</x:v>
      </x:c>
      <x:c r="N24" s="17" t="str">
        <x:v>r_rel=0.1538；r=100×(0.5×0.5+0.5×0.1538)=32.69</x:v>
      </x:c>
      <x:c r="O24" s="17" t="str">
        <x:v>pilot-source-enflame-prospectus</x:v>
      </x:c>
      <x:c r="P24" s="17" t="str">
        <x:v>以研发人员占比作为核心技术人员占比的统一代理。</x:v>
      </x:c>
    </x:row>
    <x:row r="25" ht="15" hidden="0" customHeight="1">
      <x:c r="A25" s="17" t="str">
        <x:v>燧原科技</x:v>
      </x:c>
      <x:c r="B25" s="17" t="str">
        <x:v>688801</x:v>
      </x:c>
      <x:c r="C25" s="17" t="str">
        <x:v>芯片（数字+模拟芯片设计）</x:v>
      </x:c>
      <x:c r="D25" s="23" t="n">
        <x:v>46.75</x:v>
      </x:c>
      <x:c r="E25" s="23" t="n">
        <x:v>0.5</x:v>
      </x:c>
      <x:c r="F25" s="17" t="str">
        <x:v>R07</x:v>
      </x:c>
      <x:c r="G25" s="17" t="str">
        <x:v>研发投入强度与趋势</x:v>
      </x:c>
      <x:c r="H25" s="17" t="n">
        <x:v>114.63</x:v>
      </x:c>
      <x:c r="I25" s="17" t="str">
        <x:v>%</x:v>
      </x:c>
      <x:c r="J25" s="23" t="n">
        <x:v>0</x:v>
      </x:c>
      <x:c r="K25" s="23" t="n">
        <x:v>25</x:v>
      </x:c>
      <x:c r="L25" s="17" t="n">
        <x:v>66</x:v>
      </x:c>
      <x:c r="M25" s="17" t="str">
        <x:v>scored</x:v>
      </x:c>
      <x:c r="N25" s="17" t="str">
        <x:v>r_rel=0；r=100×(0.5×0.5+0.5×0)=25</x:v>
      </x:c>
      <x:c r="O25" s="17" t="str">
        <x:v>pilot-source-enflame-prospectus</x:v>
      </x:c>
      <x:c r="P25" s="17" t="str">
        <x:v>以最新研发投入强度做横截面基准，趋势信息作为后续解释。</x:v>
      </x:c>
    </x:row>
    <x:row r="26" ht="15" hidden="0" customHeight="1">
      <x:c r="A26" s="17" t="str">
        <x:v>燧原科技</x:v>
      </x:c>
      <x:c r="B26" s="17" t="str">
        <x:v>688801</x:v>
      </x:c>
      <x:c r="C26" s="17" t="str">
        <x:v>芯片（数字+模拟芯片设计）</x:v>
      </x:c>
      <x:c r="D26" s="23" t="n">
        <x:v>46.75</x:v>
      </x:c>
      <x:c r="E26" s="23" t="n">
        <x:v>0.5</x:v>
      </x:c>
      <x:c r="F26" s="17" t="str">
        <x:v>R08</x:v>
      </x:c>
      <x:c r="G26" s="17" t="str">
        <x:v>研发/募投里程碑兑现度</x:v>
      </x:c>
      <x:c r="H26" s="17"/>
      <x:c r="I26" s="17" t="str">
        <x:v>次</x:v>
      </x:c>
      <x:c r="J26" s="23"/>
      <x:c r="K26" s="23"/>
      <x:c r="L26" s="17" t="n">
        <x:v>0</x:v>
      </x:c>
      <x:c r="M26" s="17" t="str">
        <x:v>missing</x:v>
      </x:c>
      <x:c r="N26" s="17" t="str">
        <x:v>当前企业缺少可用数值；不补零，其他指标仍参与基准计算。</x:v>
      </x:c>
      <x:c r="O26" s="17"/>
      <x:c r="P26" s="17" t="str">
        <x:v>以延期、负面或变更事件数代理未兑现程度，未获得统一加权兑现率。</x:v>
      </x:c>
    </x:row>
    <x:row r="27" ht="15" hidden="0" customHeight="1">
      <x:c r="A27" s="17" t="str">
        <x:v>燧原科技</x:v>
      </x:c>
      <x:c r="B27" s="17" t="str">
        <x:v>688801</x:v>
      </x:c>
      <x:c r="C27" s="17" t="str">
        <x:v>芯片（数字+模拟芯片设计）</x:v>
      </x:c>
      <x:c r="D27" s="23" t="n">
        <x:v>46.75</x:v>
      </x:c>
      <x:c r="E27" s="23" t="n">
        <x:v>0.5</x:v>
      </x:c>
      <x:c r="F27" s="17" t="str">
        <x:v>R09</x:v>
      </x:c>
      <x:c r="G27" s="17" t="str">
        <x:v>重大技术与知识产权事件</x:v>
      </x:c>
      <x:c r="H27" s="17"/>
      <x:c r="I27" s="17" t="str">
        <x:v>项</x:v>
      </x:c>
      <x:c r="J27" s="23"/>
      <x:c r="K27" s="23"/>
      <x:c r="L27" s="17" t="n">
        <x:v>0</x:v>
      </x:c>
      <x:c r="M27" s="17" t="str">
        <x:v>missing</x:v>
      </x:c>
      <x:c r="N27" s="17" t="str">
        <x:v>当前企业缺少可用数值；不补零，其他指标仍参与基准计算。</x:v>
      </x:c>
      <x:c r="O27" s="17"/>
      <x:c r="P27" s="17" t="str">
        <x:v>不利状态和质量事件是事件数量代理，未建立损失、责任与时间系数。</x:v>
      </x:c>
    </x:row>
    <x:row r="28" ht="15" hidden="0" customHeight="1">
      <x:c r="A28" s="17" t="str">
        <x:v>燧原科技</x:v>
      </x:c>
      <x:c r="B28" s="17" t="str">
        <x:v>688801</x:v>
      </x:c>
      <x:c r="C28" s="17" t="str">
        <x:v>芯片（数字+模拟芯片设计）</x:v>
      </x:c>
      <x:c r="D28" s="23" t="n">
        <x:v>46.75</x:v>
      </x:c>
      <x:c r="E28" s="23" t="n">
        <x:v>0.5</x:v>
      </x:c>
      <x:c r="F28" s="17" t="str">
        <x:v>R10</x:v>
      </x:c>
      <x:c r="G28" s="17" t="str">
        <x:v>监管处罚次数</x:v>
      </x:c>
      <x:c r="H28" s="17" t="n">
        <x:v>0</x:v>
      </x:c>
      <x:c r="I28" s="17" t="str">
        <x:v>次</x:v>
      </x:c>
      <x:c r="J28" s="23" t="n">
        <x:v>0</x:v>
      </x:c>
      <x:c r="K28" s="23" t="n">
        <x:v>25</x:v>
      </x:c>
      <x:c r="L28" s="17" t="n">
        <x:v>2</x:v>
      </x:c>
      <x:c r="M28" s="17" t="str">
        <x:v>scored</x:v>
      </x:c>
      <x:c r="N28" s="17" t="str">
        <x:v>r_rel=0；r=100×(0.5×0.5+0.5×0)=25</x:v>
      </x:c>
      <x:c r="O28" s="17" t="str">
        <x:v>pilot-source-enflame-prospectus</x:v>
      </x:c>
      <x:c r="P28" s="17" t="str">
        <x:v>累计处罚代理不完全等同于单季度处罚次数。</x:v>
      </x:c>
    </x:row>
    <x:row r="29" ht="15" hidden="0" customHeight="1">
      <x:c r="A29" s="17" t="str">
        <x:v>燧原科技</x:v>
      </x:c>
      <x:c r="B29" s="17" t="str">
        <x:v>688801</x:v>
      </x:c>
      <x:c r="C29" s="17" t="str">
        <x:v>芯片（数字+模拟芯片设计）</x:v>
      </x:c>
      <x:c r="D29" s="23" t="n">
        <x:v>46.75</x:v>
      </x:c>
      <x:c r="E29" s="23" t="n">
        <x:v>0.5</x:v>
      </x:c>
      <x:c r="F29" s="17" t="str">
        <x:v>R11</x:v>
      </x:c>
      <x:c r="G29" s="17" t="str">
        <x:v>交易所问询次数</x:v>
      </x:c>
      <x:c r="H29" s="17"/>
      <x:c r="I29" s="17" t="str">
        <x:v>次</x:v>
      </x:c>
      <x:c r="J29" s="23"/>
      <x:c r="K29" s="23"/>
      <x:c r="L29" s="17" t="n">
        <x:v>0</x:v>
      </x:c>
      <x:c r="M29" s="17" t="str">
        <x:v>missing</x:v>
      </x:c>
      <x:c r="N29" s="17" t="str">
        <x:v>当前企业缺少可用数值；不补零，其他指标仍参与基准计算。</x:v>
      </x:c>
      <x:c r="O29" s="17"/>
      <x:c r="P29" s="17" t="str">
        <x:v>按同口径报告期问询主题数进行行业内比较。</x:v>
      </x:c>
    </x:row>
    <x:row r="30" ht="15" hidden="0" customHeight="1">
      <x:c r="A30" s="17" t="str">
        <x:v>燧原科技</x:v>
      </x:c>
      <x:c r="B30" s="17" t="str">
        <x:v>688801</x:v>
      </x:c>
      <x:c r="C30" s="17" t="str">
        <x:v>芯片（数字+模拟芯片设计）</x:v>
      </x:c>
      <x:c r="D30" s="23" t="n">
        <x:v>46.75</x:v>
      </x:c>
      <x:c r="E30" s="23" t="n">
        <x:v>0.5</x:v>
      </x:c>
      <x:c r="F30" s="17" t="str">
        <x:v>R12</x:v>
      </x:c>
      <x:c r="G30" s="17" t="str">
        <x:v>诉讼风险</x:v>
      </x:c>
      <x:c r="H30" s="17" t="n">
        <x:v>0</x:v>
      </x:c>
      <x:c r="I30" s="17" t="str">
        <x:v>件</x:v>
      </x:c>
      <x:c r="J30" s="23" t="n">
        <x:v>0.5</x:v>
      </x:c>
      <x:c r="K30" s="23" t="n">
        <x:v>50</x:v>
      </x:c>
      <x:c r="L30" s="17" t="n">
        <x:v>29</x:v>
      </x:c>
      <x:c r="M30" s="17" t="str">
        <x:v>scored</x:v>
      </x:c>
      <x:c r="N30" s="17" t="str">
        <x:v>r_rel=0.5；r=100×(0.5×0.5+0.5×0.5)=50</x:v>
      </x:c>
      <x:c r="O30" s="17" t="str">
        <x:v>pilot-source-enflame-prospectus</x:v>
      </x:c>
      <x:c r="P30" s="17" t="str">
        <x:v>不同来源分别比较案件总数、被告判决或重大诉讼披露，未统一金额占营收口径。</x:v>
      </x:c>
    </x:row>
    <x:row r="31" ht="15" hidden="0" customHeight="1">
      <x:c r="A31" s="17" t="str">
        <x:v>燧原科技</x:v>
      </x:c>
      <x:c r="B31" s="17" t="str">
        <x:v>688801</x:v>
      </x:c>
      <x:c r="C31" s="17" t="str">
        <x:v>芯片（数字+模拟芯片设计）</x:v>
      </x:c>
      <x:c r="D31" s="23" t="n">
        <x:v>46.75</x:v>
      </x:c>
      <x:c r="E31" s="23" t="n">
        <x:v>0.5</x:v>
      </x:c>
      <x:c r="F31" s="17" t="str">
        <x:v>R13</x:v>
      </x:c>
      <x:c r="G31" s="17" t="str">
        <x:v>营业收入增长率</x:v>
      </x:c>
      <x:c r="H31" s="17" t="n">
        <x:v>37.07</x:v>
      </x:c>
      <x:c r="I31" s="17" t="str">
        <x:v>%</x:v>
      </x:c>
      <x:c r="J31" s="23" t="n">
        <x:v>0.4</x:v>
      </x:c>
      <x:c r="K31" s="23" t="n">
        <x:v>45</x:v>
      </x:c>
      <x:c r="L31" s="17" t="n">
        <x:v>66</x:v>
      </x:c>
      <x:c r="M31" s="17" t="str">
        <x:v>scored</x:v>
      </x:c>
      <x:c r="N31" s="17" t="str">
        <x:v>r_rel=0.4；r=100×(0.5×0.5+0.5×0.4)=45</x:v>
      </x:c>
      <x:c r="O31" s="17" t="str">
        <x:v>pilot-source-enflame-prospectus</x:v>
      </x:c>
      <x:c r="P31" s="17" t="str">
        <x:v>使用最新可比报告期的营业收入同比增长率。</x:v>
      </x:c>
    </x:row>
    <x:row r="32" ht="15" hidden="0" customHeight="1">
      <x:c r="A32" s="17" t="str">
        <x:v>燧原科技</x:v>
      </x:c>
      <x:c r="B32" s="17" t="str">
        <x:v>688801</x:v>
      </x:c>
      <x:c r="C32" s="17" t="str">
        <x:v>芯片（数字+模拟芯片设计）</x:v>
      </x:c>
      <x:c r="D32" s="23" t="n">
        <x:v>46.75</x:v>
      </x:c>
      <x:c r="E32" s="23" t="n">
        <x:v>0.5</x:v>
      </x:c>
      <x:c r="F32" s="17" t="str">
        <x:v>R14</x:v>
      </x:c>
      <x:c r="G32" s="17" t="str">
        <x:v>无形资产减值风险</x:v>
      </x:c>
      <x:c r="H32" s="17" t="n">
        <x:v>2.6929</x:v>
      </x:c>
      <x:c r="I32" s="17" t="str">
        <x:v>%</x:v>
      </x:c>
      <x:c r="J32" s="23" t="n">
        <x:v>0.8462</x:v>
      </x:c>
      <x:c r="K32" s="23" t="n">
        <x:v>67.31</x:v>
      </x:c>
      <x:c r="L32" s="17" t="n">
        <x:v>14</x:v>
      </x:c>
      <x:c r="M32" s="17" t="str">
        <x:v>scored</x:v>
      </x:c>
      <x:c r="N32" s="17" t="str">
        <x:v>r_rel=0.8462；r=100×(0.5×0.5+0.5×0.8462)=67.31</x:v>
      </x:c>
      <x:c r="O32" s="17" t="str">
        <x:v>pilot-source-enflame-prospectus</x:v>
      </x:c>
      <x:c r="P32" s="17" t="str">
        <x:v>同口径比较无形资产占比变动或占比水平，不能替代正式减值测试。</x:v>
      </x:c>
    </x:row>
    <x:row r="33" ht="15" hidden="0" customHeight="1">
      <x:c r="A33" s="17" t="str">
        <x:v>燧原科技</x:v>
      </x:c>
      <x:c r="B33" s="17" t="str">
        <x:v>688801</x:v>
      </x:c>
      <x:c r="C33" s="17" t="str">
        <x:v>芯片（数字+模拟芯片设计）</x:v>
      </x:c>
      <x:c r="D33" s="23" t="n">
        <x:v>46.75</x:v>
      </x:c>
      <x:c r="E33" s="23" t="n">
        <x:v>0.5</x:v>
      </x:c>
      <x:c r="F33" s="17" t="str">
        <x:v>R15</x:v>
      </x:c>
      <x:c r="G33" s="17" t="str">
        <x:v>融资成本</x:v>
      </x:c>
      <x:c r="H33" s="17" t="n">
        <x:v>15389300</x:v>
      </x:c>
      <x:c r="I33" s="17" t="str">
        <x:v>元</x:v>
      </x:c>
      <x:c r="J33" s="23" t="n">
        <x:v>1</x:v>
      </x:c>
      <x:c r="K33" s="23" t="n">
        <x:v>75</x:v>
      </x:c>
      <x:c r="L33" s="17" t="n">
        <x:v>10</x:v>
      </x:c>
      <x:c r="M33" s="17" t="str">
        <x:v>scored</x:v>
      </x:c>
      <x:c r="N33" s="17" t="str">
        <x:v>r_rel=1；r=100×(0.5×0.5+0.5×1)=75</x:v>
      </x:c>
      <x:c r="O33" s="17" t="str">
        <x:v>pilot-source-enflame-prospectus</x:v>
      </x:c>
      <x:c r="P33" s="17" t="str">
        <x:v>债务成本率与利息支出分别在同口径样本内排名，未形成完整WACC。</x:v>
      </x:c>
    </x:row>
    <x:row r="34" ht="15" hidden="0" customHeight="1">
      <x:c r="A34" s="17" t="str">
        <x:v>燧原科技</x:v>
      </x:c>
      <x:c r="B34" s="17" t="str">
        <x:v>688801</x:v>
      </x:c>
      <x:c r="C34" s="17" t="str">
        <x:v>芯片（数字+模拟芯片设计）</x:v>
      </x:c>
      <x:c r="D34" s="23" t="n">
        <x:v>46.75</x:v>
      </x:c>
      <x:c r="E34" s="23" t="n">
        <x:v>0.5</x:v>
      </x:c>
      <x:c r="F34" s="17" t="str">
        <x:v>R16</x:v>
      </x:c>
      <x:c r="G34" s="17" t="str">
        <x:v>经营现金流与短期偿债压力</x:v>
      </x:c>
      <x:c r="H34" s="17" t="n">
        <x:v>-4.47698</x:v>
      </x:c>
      <x:c r="I34" s="17" t="str">
        <x:v>倍</x:v>
      </x:c>
      <x:c r="J34" s="23" t="n">
        <x:v>0.8833</x:v>
      </x:c>
      <x:c r="K34" s="23" t="n">
        <x:v>69.16</x:v>
      </x:c>
      <x:c r="L34" s="17" t="n">
        <x:v>61</x:v>
      </x:c>
      <x:c r="M34" s="17" t="str">
        <x:v>scored</x:v>
      </x:c>
      <x:c r="N34" s="17" t="str">
        <x:v>r_rel=0.8833；r=100×(0.5×0.5+0.5×0.8833)=69.16</x:v>
      </x:c>
      <x:c r="O34" s="17" t="str">
        <x:v>pilot-source-enflame-prospectus</x:v>
      </x:c>
      <x:c r="P34" s="17" t="str">
        <x:v>优先使用经营现金流短债覆盖率，缺失时使用现金短债比。</x:v>
      </x:c>
    </x:row>
    <x:row r="35" ht="15" hidden="0" customHeight="1">
      <x:c r="A35" s="17" t="str">
        <x:v>燧原科技</x:v>
      </x:c>
      <x:c r="B35" s="17" t="str">
        <x:v>688801</x:v>
      </x:c>
      <x:c r="C35" s="17" t="str">
        <x:v>芯片（数字+模拟芯片设计）</x:v>
      </x:c>
      <x:c r="D35" s="23" t="n">
        <x:v>46.75</x:v>
      </x:c>
      <x:c r="E35" s="23" t="n">
        <x:v>0.5</x:v>
      </x:c>
      <x:c r="F35" s="17" t="str">
        <x:v>R17</x:v>
      </x:c>
      <x:c r="G35" s="17" t="str">
        <x:v>关键供应链进口依赖度</x:v>
      </x:c>
      <x:c r="H35" s="17"/>
      <x:c r="I35" s="17" t="str">
        <x:v>家</x:v>
      </x:c>
      <x:c r="J35" s="23"/>
      <x:c r="K35" s="23"/>
      <x:c r="L35" s="17" t="n">
        <x:v>0</x:v>
      </x:c>
      <x:c r="M35" s="17" t="str">
        <x:v>missing</x:v>
      </x:c>
      <x:c r="N35" s="17" t="str">
        <x:v>当前企业缺少可用数值；不补零，其他指标仍参与基准计算。</x:v>
      </x:c>
      <x:c r="O35" s="17"/>
      <x:c r="P35" s="17" t="str">
        <x:v>以已核验境内供应商数代理，样本较小且注册地不等于生产国。</x:v>
      </x:c>
    </x:row>
    <x:row r="36" ht="15" hidden="0" customHeight="1">
      <x:c r="A36" s="17" t="str">
        <x:v>燧原科技</x:v>
      </x:c>
      <x:c r="B36" s="17" t="str">
        <x:v>688801</x:v>
      </x:c>
      <x:c r="C36" s="17" t="str">
        <x:v>芯片（数字+模拟芯片设计）</x:v>
      </x:c>
      <x:c r="D36" s="23" t="n">
        <x:v>46.75</x:v>
      </x:c>
      <x:c r="E36" s="23" t="n">
        <x:v>0.5</x:v>
      </x:c>
      <x:c r="F36" s="17" t="str">
        <x:v>R18</x:v>
      </x:c>
      <x:c r="G36" s="17" t="str">
        <x:v>海外业务收入占比</x:v>
      </x:c>
      <x:c r="H36" s="17"/>
      <x:c r="I36" s="17" t="str">
        <x:v>%</x:v>
      </x:c>
      <x:c r="J36" s="23"/>
      <x:c r="K36" s="23"/>
      <x:c r="L36" s="17" t="n">
        <x:v>0</x:v>
      </x:c>
      <x:c r="M36" s="17" t="str">
        <x:v>missing</x:v>
      </x:c>
      <x:c r="N36" s="17" t="str">
        <x:v>当前企业缺少可用数值；不补零，其他指标仍参与基准计算。</x:v>
      </x:c>
      <x:c r="O36" s="17"/>
      <x:c r="P36" s="17" t="str">
        <x:v>海外收入暴露不等同于实际损失，需与管制命中联合解释。</x:v>
      </x:c>
    </x:row>
    <x:row r="37" ht="15" hidden="0" customHeight="1">
      <x:c r="A37" s="17" t="str">
        <x:v>燧原科技</x:v>
      </x:c>
      <x:c r="B37" s="17" t="str">
        <x:v>688801</x:v>
      </x:c>
      <x:c r="C37" s="17" t="str">
        <x:v>芯片（数字+模拟芯片设计）</x:v>
      </x:c>
      <x:c r="D37" s="23" t="n">
        <x:v>46.75</x:v>
      </x:c>
      <x:c r="E37" s="23" t="n">
        <x:v>0.5</x:v>
      </x:c>
      <x:c r="F37" s="17" t="str">
        <x:v>R19</x:v>
      </x:c>
      <x:c r="G37" s="17" t="str">
        <x:v>出口管制与制裁暴露度</x:v>
      </x:c>
      <x:c r="H37" s="17"/>
      <x:c r="I37" s="17" t="str">
        <x:v>类清单</x:v>
      </x:c>
      <x:c r="J37" s="23"/>
      <x:c r="K37" s="23"/>
      <x:c r="L37" s="17" t="n">
        <x:v>0</x:v>
      </x:c>
      <x:c r="M37" s="17" t="str">
        <x:v>missing</x:v>
      </x:c>
      <x:c r="N37" s="17" t="str">
        <x:v>当前企业缺少可用数值；不补零，其他指标仍参与基准计算。</x:v>
      </x:c>
      <x:c r="O37" s="17"/>
      <x:c r="P37" s="17" t="str">
        <x:v>合并美国CSL与欧盟FSD精确命中数；尚缺BOM/ECCN影响比例和集团穿透。</x:v>
      </x:c>
    </x:row>
    <x:row r="38" ht="15" hidden="0" customHeight="1">
      <x:c r="A38" s="17" t="str">
        <x:v>燧原科技</x:v>
      </x:c>
      <x:c r="B38" s="17" t="str">
        <x:v>688801</x:v>
      </x:c>
      <x:c r="C38" s="17" t="str">
        <x:v>芯片（数字+模拟芯片设计）</x:v>
      </x:c>
      <x:c r="D38" s="23" t="n">
        <x:v>46.75</x:v>
      </x:c>
      <x:c r="E38" s="23" t="n">
        <x:v>0.5</x:v>
      </x:c>
      <x:c r="F38" s="17" t="str">
        <x:v>R20</x:v>
      </x:c>
      <x:c r="G38" s="17" t="str">
        <x:v>控制权稀释与稳定性</x:v>
      </x:c>
      <x:c r="H38" s="17"/>
      <x:c r="I38" s="17" t="str">
        <x:v>%</x:v>
      </x:c>
      <x:c r="J38" s="23"/>
      <x:c r="K38" s="23"/>
      <x:c r="L38" s="17" t="n">
        <x:v>0</x:v>
      </x:c>
      <x:c r="M38" s="17" t="str">
        <x:v>missing</x:v>
      </x:c>
      <x:c r="N38" s="17" t="str">
        <x:v>当前企业缺少可用数值；不补零，其他指标仍参与基准计算。</x:v>
      </x:c>
      <x:c r="O38" s="17"/>
      <x:c r="P38" s="17" t="str">
        <x:v>以可获得的最大控制人持股比例代理，尚缺表决权协议和一致行动关系。</x:v>
      </x:c>
    </x:row>
    <x:row r="39" ht="15" hidden="0" customHeight="1">
      <x:c r="A39" s="17" t="str">
        <x:v>燧原科技</x:v>
      </x:c>
      <x:c r="B39" s="17" t="str">
        <x:v>688801</x:v>
      </x:c>
      <x:c r="C39" s="17" t="str">
        <x:v>芯片（数字+模拟芯片设计）</x:v>
      </x:c>
      <x:c r="D39" s="23" t="n">
        <x:v>46.75</x:v>
      </x:c>
      <x:c r="E39" s="23" t="n">
        <x:v>0.5</x:v>
      </x:c>
      <x:c r="F39" s="17" t="str">
        <x:v>R21</x:v>
      </x:c>
      <x:c r="G39" s="17" t="str">
        <x:v>高管关联风险暴露度</x:v>
      </x:c>
      <x:c r="H39" s="17"/>
      <x:c r="I39" s="17" t="str">
        <x:v>条</x:v>
      </x:c>
      <x:c r="J39" s="23"/>
      <x:c r="K39" s="23"/>
      <x:c r="L39" s="17" t="n">
        <x:v>0</x:v>
      </x:c>
      <x:c r="M39" s="17" t="str">
        <x:v>missing</x:v>
      </x:c>
      <x:c r="N39" s="17" t="str">
        <x:v>当前企业缺少可用数值；不补零，其他指标仍参与基准计算。</x:v>
      </x:c>
      <x:c r="O39" s="17"/>
      <x:c r="P39" s="17" t="str">
        <x:v>以企业/境内主体风险聚合代理高管关联暴露，关联风险不等于人员本人违法。</x:v>
      </x:c>
    </x:row>
    <x:row r="40" ht="15" hidden="0" customHeight="1">
      <x:c r="A40" s="17" t="str">
        <x:v>燧原科技</x:v>
      </x:c>
      <x:c r="B40" s="17" t="str">
        <x:v>688801</x:v>
      </x:c>
      <x:c r="C40" s="17" t="str">
        <x:v>芯片（数字+模拟芯片设计）</x:v>
      </x:c>
      <x:c r="D40" s="23" t="n">
        <x:v>46.75</x:v>
      </x:c>
      <x:c r="E40" s="23" t="n">
        <x:v>0.5</x:v>
      </x:c>
      <x:c r="F40" s="17" t="str">
        <x:v>R22</x:v>
      </x:c>
      <x:c r="G40" s="17" t="str">
        <x:v>关键管理与技术人员稳定性</x:v>
      </x:c>
      <x:c r="H40" s="17"/>
      <x:c r="I40" s="17" t="str">
        <x:v>人/事件</x:v>
      </x:c>
      <x:c r="J40" s="23"/>
      <x:c r="K40" s="23"/>
      <x:c r="L40" s="17" t="n">
        <x:v>0</x:v>
      </x:c>
      <x:c r="M40" s="17" t="str">
        <x:v>missing</x:v>
      </x:c>
      <x:c r="N40" s="17" t="str">
        <x:v>当前企业缺少可用数值；不补零，其他指标仍参与基准计算。</x:v>
      </x:c>
      <x:c r="O40" s="17"/>
      <x:c r="P40" s="17" t="str">
        <x:v>以核心技术人员离职/变更事件数代理流失率，尚缺统一期初人数分母。</x:v>
      </x:c>
    </x:row>
    <x:row r="41" ht="21.600000381469727" hidden="0" customHeight="1">
      <x:c r="A41" s="17" t="str">
        <x:v>华微电子</x:v>
      </x:c>
      <x:c r="B41" s="17" t="str">
        <x:v>600360</x:v>
      </x:c>
      <x:c r="C41" s="17" t="str">
        <x:v>芯片（数字+模拟芯片设计）</x:v>
      </x:c>
      <x:c r="D41" s="23" t="n">
        <x:v>61.83</x:v>
      </x:c>
      <x:c r="E41" s="23" t="n">
        <x:v>0.4444</x:v>
      </x:c>
      <x:c r="F41" s="17" t="str">
        <x:v>R05</x:v>
      </x:c>
      <x:c r="G41" s="17" t="str">
        <x:v>技术先进性—专利质量</x:v>
      </x:c>
      <x:c r="H41" s="17" t="n">
        <x:v>139</x:v>
      </x:c>
      <x:c r="I41" s="17" t="str">
        <x:v>项</x:v>
      </x:c>
      <x:c r="J41" s="23" t="n">
        <x:v>0.6786</x:v>
      </x:c>
      <x:c r="K41" s="23" t="n">
        <x:v>58.93</x:v>
      </x:c>
      <x:c r="L41" s="17" t="n">
        <x:v>29</x:v>
      </x:c>
      <x:c r="M41" s="17" t="str">
        <x:v>scored</x:v>
      </x:c>
      <x:c r="N41" s="17" t="str">
        <x:v>r_rel=0.6786；r=100×(0.5×0.5+0.5×0.6786)=58.93</x:v>
      </x:c>
      <x:c r="O41" s="17" t="str">
        <x:v>pilot-source-huami-2022</x:v>
      </x:c>
      <x:c r="P41" s="17" t="str">
        <x:v>当前使用有效/授权/专利存量代理，尚缺专利族、去自引前向引用和IPC年份标准化。</x:v>
      </x:c>
    </x:row>
    <x:row r="42" ht="15" hidden="0" customHeight="1">
      <x:c r="A42" s="17" t="str">
        <x:v>华微电子</x:v>
      </x:c>
      <x:c r="B42" s="17" t="str">
        <x:v>600360</x:v>
      </x:c>
      <x:c r="C42" s="17" t="str">
        <x:v>芯片（数字+模拟芯片设计）</x:v>
      </x:c>
      <x:c r="D42" s="23" t="n">
        <x:v>61.83</x:v>
      </x:c>
      <x:c r="E42" s="23" t="n">
        <x:v>0.4444</x:v>
      </x:c>
      <x:c r="F42" s="17" t="str">
        <x:v>R06</x:v>
      </x:c>
      <x:c r="G42" s="17" t="str">
        <x:v>核心技术人员占比</x:v>
      </x:c>
      <x:c r="H42" s="17" t="n">
        <x:v>30.11</x:v>
      </x:c>
      <x:c r="I42" s="17" t="str">
        <x:v>%</x:v>
      </x:c>
      <x:c r="J42" s="23" t="n">
        <x:v>0.9692</x:v>
      </x:c>
      <x:c r="K42" s="23" t="n">
        <x:v>73.46</x:v>
      </x:c>
      <x:c r="L42" s="17" t="n">
        <x:v>66</x:v>
      </x:c>
      <x:c r="M42" s="17" t="str">
        <x:v>scored</x:v>
      </x:c>
      <x:c r="N42" s="17" t="str">
        <x:v>r_rel=0.9692；r=100×(0.5×0.5+0.5×0.9692)=73.46</x:v>
      </x:c>
      <x:c r="O42" s="17" t="str">
        <x:v>pilot-source-huami-2022</x:v>
      </x:c>
      <x:c r="P42" s="17" t="str">
        <x:v>以研发人员占比作为核心技术人员占比的统一代理。</x:v>
      </x:c>
    </x:row>
    <x:row r="43" ht="15" hidden="0" customHeight="1">
      <x:c r="A43" s="17" t="str">
        <x:v>华微电子</x:v>
      </x:c>
      <x:c r="B43" s="17" t="str">
        <x:v>600360</x:v>
      </x:c>
      <x:c r="C43" s="17" t="str">
        <x:v>芯片（数字+模拟芯片设计）</x:v>
      </x:c>
      <x:c r="D43" s="23" t="n">
        <x:v>61.83</x:v>
      </x:c>
      <x:c r="E43" s="23" t="n">
        <x:v>0.4444</x:v>
      </x:c>
      <x:c r="F43" s="17" t="str">
        <x:v>R07</x:v>
      </x:c>
      <x:c r="G43" s="17" t="str">
        <x:v>研发投入强度与趋势</x:v>
      </x:c>
      <x:c r="H43" s="17" t="n">
        <x:v>5.39</x:v>
      </x:c>
      <x:c r="I43" s="17" t="str">
        <x:v>%</x:v>
      </x:c>
      <x:c r="J43" s="23" t="n">
        <x:v>0.9846</x:v>
      </x:c>
      <x:c r="K43" s="23" t="n">
        <x:v>74.23</x:v>
      </x:c>
      <x:c r="L43" s="17" t="n">
        <x:v>66</x:v>
      </x:c>
      <x:c r="M43" s="17" t="str">
        <x:v>scored</x:v>
      </x:c>
      <x:c r="N43" s="17" t="str">
        <x:v>r_rel=0.9846；r=100×(0.5×0.5+0.5×0.9846)=74.23</x:v>
      </x:c>
      <x:c r="O43" s="17" t="str">
        <x:v>pilot-source-huami-2022</x:v>
      </x:c>
      <x:c r="P43" s="17" t="str">
        <x:v>以最新研发投入强度做横截面基准，趋势信息作为后续解释。</x:v>
      </x:c>
    </x:row>
    <x:row r="44" ht="15" hidden="0" customHeight="1">
      <x:c r="A44" s="17" t="str">
        <x:v>华微电子</x:v>
      </x:c>
      <x:c r="B44" s="17" t="str">
        <x:v>600360</x:v>
      </x:c>
      <x:c r="C44" s="17" t="str">
        <x:v>芯片（数字+模拟芯片设计）</x:v>
      </x:c>
      <x:c r="D44" s="23" t="n">
        <x:v>61.83</x:v>
      </x:c>
      <x:c r="E44" s="23" t="n">
        <x:v>0.4444</x:v>
      </x:c>
      <x:c r="F44" s="17" t="str">
        <x:v>R08</x:v>
      </x:c>
      <x:c r="G44" s="17" t="str">
        <x:v>研发/募投里程碑兑现度</x:v>
      </x:c>
      <x:c r="H44" s="17"/>
      <x:c r="I44" s="17" t="str">
        <x:v>次</x:v>
      </x:c>
      <x:c r="J44" s="23"/>
      <x:c r="K44" s="23"/>
      <x:c r="L44" s="17" t="n">
        <x:v>0</x:v>
      </x:c>
      <x:c r="M44" s="17" t="str">
        <x:v>missing</x:v>
      </x:c>
      <x:c r="N44" s="17" t="str">
        <x:v>当前企业缺少可用数值；不补零，其他指标仍参与基准计算。</x:v>
      </x:c>
      <x:c r="O44" s="17"/>
      <x:c r="P44" s="17" t="str">
        <x:v>以延期、负面或变更事件数代理未兑现程度，未获得统一加权兑现率。</x:v>
      </x:c>
    </x:row>
    <x:row r="45" ht="15" hidden="0" customHeight="1">
      <x:c r="A45" s="17" t="str">
        <x:v>华微电子</x:v>
      </x:c>
      <x:c r="B45" s="17" t="str">
        <x:v>600360</x:v>
      </x:c>
      <x:c r="C45" s="17" t="str">
        <x:v>芯片（数字+模拟芯片设计）</x:v>
      </x:c>
      <x:c r="D45" s="23" t="n">
        <x:v>61.83</x:v>
      </x:c>
      <x:c r="E45" s="23" t="n">
        <x:v>0.4444</x:v>
      </x:c>
      <x:c r="F45" s="17" t="str">
        <x:v>R09</x:v>
      </x:c>
      <x:c r="G45" s="17" t="str">
        <x:v>重大技术与知识产权事件</x:v>
      </x:c>
      <x:c r="H45" s="17"/>
      <x:c r="I45" s="17" t="str">
        <x:v>项</x:v>
      </x:c>
      <x:c r="J45" s="23"/>
      <x:c r="K45" s="23"/>
      <x:c r="L45" s="17" t="n">
        <x:v>0</x:v>
      </x:c>
      <x:c r="M45" s="17" t="str">
        <x:v>missing</x:v>
      </x:c>
      <x:c r="N45" s="17" t="str">
        <x:v>当前企业缺少可用数值；不补零，其他指标仍参与基准计算。</x:v>
      </x:c>
      <x:c r="O45" s="17"/>
      <x:c r="P45" s="17" t="str">
        <x:v>不利状态和质量事件是事件数量代理，未建立损失、责任与时间系数。</x:v>
      </x:c>
    </x:row>
    <x:row r="46" ht="15" hidden="0" customHeight="1">
      <x:c r="A46" s="17" t="str">
        <x:v>华微电子</x:v>
      </x:c>
      <x:c r="B46" s="17" t="str">
        <x:v>600360</x:v>
      </x:c>
      <x:c r="C46" s="17" t="str">
        <x:v>芯片（数字+模拟芯片设计）</x:v>
      </x:c>
      <x:c r="D46" s="23" t="n">
        <x:v>61.83</x:v>
      </x:c>
      <x:c r="E46" s="23" t="n">
        <x:v>0.4444</x:v>
      </x:c>
      <x:c r="F46" s="17" t="str">
        <x:v>R10</x:v>
      </x:c>
      <x:c r="G46" s="17" t="str">
        <x:v>监管处罚次数</x:v>
      </x:c>
      <x:c r="H46" s="17" t="n">
        <x:v>1</x:v>
      </x:c>
      <x:c r="I46" s="17" t="str">
        <x:v>次</x:v>
      </x:c>
      <x:c r="J46" s="23" t="n">
        <x:v>1</x:v>
      </x:c>
      <x:c r="K46" s="23" t="n">
        <x:v>75</x:v>
      </x:c>
      <x:c r="L46" s="17" t="n">
        <x:v>2</x:v>
      </x:c>
      <x:c r="M46" s="17" t="str">
        <x:v>scored</x:v>
      </x:c>
      <x:c r="N46" s="17" t="str">
        <x:v>r_rel=1；r=100×(0.5×0.5+0.5×1)=75</x:v>
      </x:c>
      <x:c r="O46" s="17" t="str">
        <x:v>pilot-source-huami-2022</x:v>
      </x:c>
      <x:c r="P46" s="17" t="str">
        <x:v>累计处罚代理不完全等同于单季度处罚次数。</x:v>
      </x:c>
    </x:row>
    <x:row r="47" ht="15" hidden="0" customHeight="1">
      <x:c r="A47" s="17" t="str">
        <x:v>华微电子</x:v>
      </x:c>
      <x:c r="B47" s="17" t="str">
        <x:v>600360</x:v>
      </x:c>
      <x:c r="C47" s="17" t="str">
        <x:v>芯片（数字+模拟芯片设计）</x:v>
      </x:c>
      <x:c r="D47" s="23" t="n">
        <x:v>61.83</x:v>
      </x:c>
      <x:c r="E47" s="23" t="n">
        <x:v>0.4444</x:v>
      </x:c>
      <x:c r="F47" s="17" t="str">
        <x:v>R11</x:v>
      </x:c>
      <x:c r="G47" s="17" t="str">
        <x:v>交易所问询次数</x:v>
      </x:c>
      <x:c r="H47" s="17"/>
      <x:c r="I47" s="17" t="str">
        <x:v>次</x:v>
      </x:c>
      <x:c r="J47" s="23"/>
      <x:c r="K47" s="23"/>
      <x:c r="L47" s="17" t="n">
        <x:v>0</x:v>
      </x:c>
      <x:c r="M47" s="17" t="str">
        <x:v>missing</x:v>
      </x:c>
      <x:c r="N47" s="17" t="str">
        <x:v>当前企业缺少可用数值；不补零，其他指标仍参与基准计算。</x:v>
      </x:c>
      <x:c r="O47" s="17"/>
      <x:c r="P47" s="17" t="str">
        <x:v>按同口径报告期问询主题数进行行业内比较。</x:v>
      </x:c>
    </x:row>
    <x:row r="48" ht="15" hidden="0" customHeight="1">
      <x:c r="A48" s="17" t="str">
        <x:v>华微电子</x:v>
      </x:c>
      <x:c r="B48" s="17" t="str">
        <x:v>600360</x:v>
      </x:c>
      <x:c r="C48" s="17" t="str">
        <x:v>芯片（数字+模拟芯片设计）</x:v>
      </x:c>
      <x:c r="D48" s="23" t="n">
        <x:v>61.83</x:v>
      </x:c>
      <x:c r="E48" s="23" t="n">
        <x:v>0.4444</x:v>
      </x:c>
      <x:c r="F48" s="17" t="str">
        <x:v>R12</x:v>
      </x:c>
      <x:c r="G48" s="17" t="str">
        <x:v>诉讼风险</x:v>
      </x:c>
      <x:c r="H48" s="17" t="n">
        <x:v>0</x:v>
      </x:c>
      <x:c r="I48" s="17" t="str">
        <x:v>件</x:v>
      </x:c>
      <x:c r="J48" s="23" t="n">
        <x:v>0.5</x:v>
      </x:c>
      <x:c r="K48" s="23" t="n">
        <x:v>50</x:v>
      </x:c>
      <x:c r="L48" s="17" t="n">
        <x:v>29</x:v>
      </x:c>
      <x:c r="M48" s="17" t="str">
        <x:v>scored</x:v>
      </x:c>
      <x:c r="N48" s="17" t="str">
        <x:v>r_rel=0.5；r=100×(0.5×0.5+0.5×0.5)=50</x:v>
      </x:c>
      <x:c r="O48" s="17" t="str">
        <x:v>pilot-source-huami-2022</x:v>
      </x:c>
      <x:c r="P48" s="17" t="str">
        <x:v>不同来源分别比较案件总数、被告判决或重大诉讼披露，未统一金额占营收口径。</x:v>
      </x:c>
    </x:row>
    <x:row r="49" ht="15" hidden="0" customHeight="1">
      <x:c r="A49" s="17" t="str">
        <x:v>华微电子</x:v>
      </x:c>
      <x:c r="B49" s="17" t="str">
        <x:v>600360</x:v>
      </x:c>
      <x:c r="C49" s="17" t="str">
        <x:v>芯片（数字+模拟芯片设计）</x:v>
      </x:c>
      <x:c r="D49" s="23" t="n">
        <x:v>61.83</x:v>
      </x:c>
      <x:c r="E49" s="23" t="n">
        <x:v>0.4444</x:v>
      </x:c>
      <x:c r="F49" s="17" t="str">
        <x:v>R13</x:v>
      </x:c>
      <x:c r="G49" s="17" t="str">
        <x:v>营业收入增长率</x:v>
      </x:c>
      <x:c r="H49" s="17" t="n">
        <x:v>-11.62</x:v>
      </x:c>
      <x:c r="I49" s="17" t="str">
        <x:v>%</x:v>
      </x:c>
      <x:c r="J49" s="23" t="n">
        <x:v>0.8923</x:v>
      </x:c>
      <x:c r="K49" s="23" t="n">
        <x:v>69.62</x:v>
      </x:c>
      <x:c r="L49" s="17" t="n">
        <x:v>66</x:v>
      </x:c>
      <x:c r="M49" s="17" t="str">
        <x:v>scored</x:v>
      </x:c>
      <x:c r="N49" s="17" t="str">
        <x:v>r_rel=0.8923；r=100×(0.5×0.5+0.5×0.8923)=69.62</x:v>
      </x:c>
      <x:c r="O49" s="17" t="str">
        <x:v>pilot-source-huami-2022</x:v>
      </x:c>
      <x:c r="P49" s="17" t="str">
        <x:v>使用最新可比报告期的营业收入同比增长率。</x:v>
      </x:c>
    </x:row>
    <x:row r="50" ht="15" hidden="0" customHeight="1">
      <x:c r="A50" s="17" t="str">
        <x:v>华微电子</x:v>
      </x:c>
      <x:c r="B50" s="17" t="str">
        <x:v>600360</x:v>
      </x:c>
      <x:c r="C50" s="17" t="str">
        <x:v>芯片（数字+模拟芯片设计）</x:v>
      </x:c>
      <x:c r="D50" s="23" t="n">
        <x:v>61.83</x:v>
      </x:c>
      <x:c r="E50" s="23" t="n">
        <x:v>0.4444</x:v>
      </x:c>
      <x:c r="F50" s="17" t="str">
        <x:v>R14</x:v>
      </x:c>
      <x:c r="G50" s="17" t="str">
        <x:v>无形资产减值风险</x:v>
      </x:c>
      <x:c r="H50" s="17" t="n">
        <x:v>1.5591</x:v>
      </x:c>
      <x:c r="I50" s="17" t="str">
        <x:v>%</x:v>
      </x:c>
      <x:c r="J50" s="23" t="n">
        <x:v>0.6154</x:v>
      </x:c>
      <x:c r="K50" s="23" t="n">
        <x:v>55.77</x:v>
      </x:c>
      <x:c r="L50" s="17" t="n">
        <x:v>14</x:v>
      </x:c>
      <x:c r="M50" s="17" t="str">
        <x:v>scored</x:v>
      </x:c>
      <x:c r="N50" s="17" t="str">
        <x:v>r_rel=0.6154；r=100×(0.5×0.5+0.5×0.6154)=55.77</x:v>
      </x:c>
      <x:c r="O50" s="17" t="str">
        <x:v>pilot-source-huami-2022</x:v>
      </x:c>
      <x:c r="P50" s="17" t="str">
        <x:v>同口径比较无形资产占比变动或占比水平，不能替代正式减值测试。</x:v>
      </x:c>
    </x:row>
    <x:row r="51" ht="15" hidden="0" customHeight="1">
      <x:c r="A51" s="17" t="str">
        <x:v>华微电子</x:v>
      </x:c>
      <x:c r="B51" s="17" t="str">
        <x:v>600360</x:v>
      </x:c>
      <x:c r="C51" s="17" t="str">
        <x:v>芯片（数字+模拟芯片设计）</x:v>
      </x:c>
      <x:c r="D51" s="23" t="n">
        <x:v>61.83</x:v>
      </x:c>
      <x:c r="E51" s="23" t="n">
        <x:v>0.4444</x:v>
      </x:c>
      <x:c r="F51" s="17" t="str">
        <x:v>R15</x:v>
      </x:c>
      <x:c r="G51" s="17" t="str">
        <x:v>融资成本</x:v>
      </x:c>
      <x:c r="H51" s="17"/>
      <x:c r="I51" s="17" t="str">
        <x:v>%/元</x:v>
      </x:c>
      <x:c r="J51" s="23"/>
      <x:c r="K51" s="23"/>
      <x:c r="L51" s="17" t="n">
        <x:v>0</x:v>
      </x:c>
      <x:c r="M51" s="17" t="str">
        <x:v>missing</x:v>
      </x:c>
      <x:c r="N51" s="17" t="str">
        <x:v>当前企业缺少可用数值；不补零，其他指标仍参与基准计算。</x:v>
      </x:c>
      <x:c r="O51" s="17"/>
      <x:c r="P51" s="17" t="str">
        <x:v>债务成本率与利息支出分别在同口径样本内排名，未形成完整WACC。</x:v>
      </x:c>
    </x:row>
    <x:row r="52" ht="15" hidden="0" customHeight="1">
      <x:c r="A52" s="17" t="str">
        <x:v>华微电子</x:v>
      </x:c>
      <x:c r="B52" s="17" t="str">
        <x:v>600360</x:v>
      </x:c>
      <x:c r="C52" s="17" t="str">
        <x:v>芯片（数字+模拟芯片设计）</x:v>
      </x:c>
      <x:c r="D52" s="23" t="n">
        <x:v>61.83</x:v>
      </x:c>
      <x:c r="E52" s="23" t="n">
        <x:v>0.4444</x:v>
      </x:c>
      <x:c r="F52" s="17" t="str">
        <x:v>R16</x:v>
      </x:c>
      <x:c r="G52" s="17" t="str">
        <x:v>经营现金流与短期偿债压力</x:v>
      </x:c>
      <x:c r="H52" s="17" t="n">
        <x:v>0.4382</x:v>
      </x:c>
      <x:c r="I52" s="17" t="str">
        <x:v>倍</x:v>
      </x:c>
      <x:c r="J52" s="23" t="n">
        <x:v>0.2667</x:v>
      </x:c>
      <x:c r="K52" s="23" t="n">
        <x:v>38.33</x:v>
      </x:c>
      <x:c r="L52" s="17" t="n">
        <x:v>61</x:v>
      </x:c>
      <x:c r="M52" s="17" t="str">
        <x:v>scored</x:v>
      </x:c>
      <x:c r="N52" s="17" t="str">
        <x:v>r_rel=0.2667；r=100×(0.5×0.5+0.5×0.2667)=38.33</x:v>
      </x:c>
      <x:c r="O52" s="17" t="str">
        <x:v>pilot-source-huami-2022</x:v>
      </x:c>
      <x:c r="P52" s="17" t="str">
        <x:v>优先使用经营现金流短债覆盖率，缺失时使用现金短债比。</x:v>
      </x:c>
    </x:row>
    <x:row r="53" ht="15" hidden="0" customHeight="1">
      <x:c r="A53" s="17" t="str">
        <x:v>华微电子</x:v>
      </x:c>
      <x:c r="B53" s="17" t="str">
        <x:v>600360</x:v>
      </x:c>
      <x:c r="C53" s="17" t="str">
        <x:v>芯片（数字+模拟芯片设计）</x:v>
      </x:c>
      <x:c r="D53" s="23" t="n">
        <x:v>61.83</x:v>
      </x:c>
      <x:c r="E53" s="23" t="n">
        <x:v>0.4444</x:v>
      </x:c>
      <x:c r="F53" s="17" t="str">
        <x:v>R17</x:v>
      </x:c>
      <x:c r="G53" s="17" t="str">
        <x:v>关键供应链进口依赖度</x:v>
      </x:c>
      <x:c r="H53" s="17"/>
      <x:c r="I53" s="17" t="str">
        <x:v>家</x:v>
      </x:c>
      <x:c r="J53" s="23"/>
      <x:c r="K53" s="23"/>
      <x:c r="L53" s="17" t="n">
        <x:v>0</x:v>
      </x:c>
      <x:c r="M53" s="17" t="str">
        <x:v>missing</x:v>
      </x:c>
      <x:c r="N53" s="17" t="str">
        <x:v>当前企业缺少可用数值；不补零，其他指标仍参与基准计算。</x:v>
      </x:c>
      <x:c r="O53" s="17"/>
      <x:c r="P53" s="17" t="str">
        <x:v>以已核验境内供应商数代理，样本较小且注册地不等于生产国。</x:v>
      </x:c>
    </x:row>
    <x:row r="54" ht="15" hidden="0" customHeight="1">
      <x:c r="A54" s="17" t="str">
        <x:v>华微电子</x:v>
      </x:c>
      <x:c r="B54" s="17" t="str">
        <x:v>600360</x:v>
      </x:c>
      <x:c r="C54" s="17" t="str">
        <x:v>芯片（数字+模拟芯片设计）</x:v>
      </x:c>
      <x:c r="D54" s="23" t="n">
        <x:v>61.83</x:v>
      </x:c>
      <x:c r="E54" s="23" t="n">
        <x:v>0.4444</x:v>
      </x:c>
      <x:c r="F54" s="17" t="str">
        <x:v>R18</x:v>
      </x:c>
      <x:c r="G54" s="17" t="str">
        <x:v>海外业务收入占比</x:v>
      </x:c>
      <x:c r="H54" s="17"/>
      <x:c r="I54" s="17" t="str">
        <x:v>%</x:v>
      </x:c>
      <x:c r="J54" s="23"/>
      <x:c r="K54" s="23"/>
      <x:c r="L54" s="17" t="n">
        <x:v>0</x:v>
      </x:c>
      <x:c r="M54" s="17" t="str">
        <x:v>missing</x:v>
      </x:c>
      <x:c r="N54" s="17" t="str">
        <x:v>当前企业缺少可用数值；不补零，其他指标仍参与基准计算。</x:v>
      </x:c>
      <x:c r="O54" s="17"/>
      <x:c r="P54" s="17" t="str">
        <x:v>海外收入暴露不等同于实际损失，需与管制命中联合解释。</x:v>
      </x:c>
    </x:row>
    <x:row r="55" ht="15" hidden="0" customHeight="1">
      <x:c r="A55" s="17" t="str">
        <x:v>华微电子</x:v>
      </x:c>
      <x:c r="B55" s="17" t="str">
        <x:v>600360</x:v>
      </x:c>
      <x:c r="C55" s="17" t="str">
        <x:v>芯片（数字+模拟芯片设计）</x:v>
      </x:c>
      <x:c r="D55" s="23" t="n">
        <x:v>61.83</x:v>
      </x:c>
      <x:c r="E55" s="23" t="n">
        <x:v>0.4444</x:v>
      </x:c>
      <x:c r="F55" s="17" t="str">
        <x:v>R19</x:v>
      </x:c>
      <x:c r="G55" s="17" t="str">
        <x:v>出口管制与制裁暴露度</x:v>
      </x:c>
      <x:c r="H55" s="17"/>
      <x:c r="I55" s="17" t="str">
        <x:v>类清单</x:v>
      </x:c>
      <x:c r="J55" s="23"/>
      <x:c r="K55" s="23"/>
      <x:c r="L55" s="17" t="n">
        <x:v>0</x:v>
      </x:c>
      <x:c r="M55" s="17" t="str">
        <x:v>missing</x:v>
      </x:c>
      <x:c r="N55" s="17" t="str">
        <x:v>当前企业缺少可用数值；不补零，其他指标仍参与基准计算。</x:v>
      </x:c>
      <x:c r="O55" s="17"/>
      <x:c r="P55" s="17" t="str">
        <x:v>合并美国CSL与欧盟FSD精确命中数；尚缺BOM/ECCN影响比例和集团穿透。</x:v>
      </x:c>
    </x:row>
    <x:row r="56" ht="15" hidden="0" customHeight="1">
      <x:c r="A56" s="17" t="str">
        <x:v>华微电子</x:v>
      </x:c>
      <x:c r="B56" s="17" t="str">
        <x:v>600360</x:v>
      </x:c>
      <x:c r="C56" s="17" t="str">
        <x:v>芯片（数字+模拟芯片设计）</x:v>
      </x:c>
      <x:c r="D56" s="23" t="n">
        <x:v>61.83</x:v>
      </x:c>
      <x:c r="E56" s="23" t="n">
        <x:v>0.4444</x:v>
      </x:c>
      <x:c r="F56" s="17" t="str">
        <x:v>R20</x:v>
      </x:c>
      <x:c r="G56" s="17" t="str">
        <x:v>控制权稀释与稳定性</x:v>
      </x:c>
      <x:c r="H56" s="17"/>
      <x:c r="I56" s="17" t="str">
        <x:v>%</x:v>
      </x:c>
      <x:c r="J56" s="23"/>
      <x:c r="K56" s="23"/>
      <x:c r="L56" s="17" t="n">
        <x:v>0</x:v>
      </x:c>
      <x:c r="M56" s="17" t="str">
        <x:v>missing</x:v>
      </x:c>
      <x:c r="N56" s="17" t="str">
        <x:v>当前企业缺少可用数值；不补零，其他指标仍参与基准计算。</x:v>
      </x:c>
      <x:c r="O56" s="17"/>
      <x:c r="P56" s="17" t="str">
        <x:v>以可获得的最大控制人持股比例代理，尚缺表决权协议和一致行动关系。</x:v>
      </x:c>
    </x:row>
    <x:row r="57" ht="15" hidden="0" customHeight="1">
      <x:c r="A57" s="17" t="str">
        <x:v>华微电子</x:v>
      </x:c>
      <x:c r="B57" s="17" t="str">
        <x:v>600360</x:v>
      </x:c>
      <x:c r="C57" s="17" t="str">
        <x:v>芯片（数字+模拟芯片设计）</x:v>
      </x:c>
      <x:c r="D57" s="23" t="n">
        <x:v>61.83</x:v>
      </x:c>
      <x:c r="E57" s="23" t="n">
        <x:v>0.4444</x:v>
      </x:c>
      <x:c r="F57" s="17" t="str">
        <x:v>R21</x:v>
      </x:c>
      <x:c r="G57" s="17" t="str">
        <x:v>高管关联风险暴露度</x:v>
      </x:c>
      <x:c r="H57" s="17"/>
      <x:c r="I57" s="17" t="str">
        <x:v>条</x:v>
      </x:c>
      <x:c r="J57" s="23"/>
      <x:c r="K57" s="23"/>
      <x:c r="L57" s="17" t="n">
        <x:v>0</x:v>
      </x:c>
      <x:c r="M57" s="17" t="str">
        <x:v>missing</x:v>
      </x:c>
      <x:c r="N57" s="17" t="str">
        <x:v>当前企业缺少可用数值；不补零，其他指标仍参与基准计算。</x:v>
      </x:c>
      <x:c r="O57" s="17"/>
      <x:c r="P57" s="17" t="str">
        <x:v>以企业/境内主体风险聚合代理高管关联暴露，关联风险不等于人员本人违法。</x:v>
      </x:c>
    </x:row>
    <x:row r="58" ht="15" hidden="0" customHeight="1">
      <x:c r="A58" s="17" t="str">
        <x:v>华微电子</x:v>
      </x:c>
      <x:c r="B58" s="17" t="str">
        <x:v>600360</x:v>
      </x:c>
      <x:c r="C58" s="17" t="str">
        <x:v>芯片（数字+模拟芯片设计）</x:v>
      </x:c>
      <x:c r="D58" s="23" t="n">
        <x:v>61.83</x:v>
      </x:c>
      <x:c r="E58" s="23" t="n">
        <x:v>0.4444</x:v>
      </x:c>
      <x:c r="F58" s="17" t="str">
        <x:v>R22</x:v>
      </x:c>
      <x:c r="G58" s="17" t="str">
        <x:v>关键管理与技术人员稳定性</x:v>
      </x:c>
      <x:c r="H58" s="17"/>
      <x:c r="I58" s="17" t="str">
        <x:v>人/事件</x:v>
      </x:c>
      <x:c r="J58" s="23"/>
      <x:c r="K58" s="23"/>
      <x:c r="L58" s="17" t="n">
        <x:v>0</x:v>
      </x:c>
      <x:c r="M58" s="17" t="str">
        <x:v>missing</x:v>
      </x:c>
      <x:c r="N58" s="17" t="str">
        <x:v>当前企业缺少可用数值；不补零，其他指标仍参与基准计算。</x:v>
      </x:c>
      <x:c r="O58" s="17"/>
      <x:c r="P58" s="17" t="str">
        <x:v>以核心技术人员离职/变更事件数代理流失率，尚缺统一期初人数分母。</x:v>
      </x:c>
    </x:row>
    <x:row r="59" ht="21.600000381469727" hidden="0" customHeight="1">
      <x:c r="A59" s="17" t="str">
        <x:v>恒瑞医药</x:v>
      </x:c>
      <x:c r="B59" s="17" t="str">
        <x:v>600276</x:v>
      </x:c>
      <x:c r="C59" s="17" t="str">
        <x:v>化学制剂</x:v>
      </x:c>
      <x:c r="D59" s="23" t="n">
        <x:v>41.15</x:v>
      </x:c>
      <x:c r="E59" s="23" t="n">
        <x:v>0.3889</x:v>
      </x:c>
      <x:c r="F59" s="17" t="str">
        <x:v>R05</x:v>
      </x:c>
      <x:c r="G59" s="17" t="str">
        <x:v>技术先进性—专利质量</x:v>
      </x:c>
      <x:c r="H59" s="17" t="n">
        <x:v>2007</x:v>
      </x:c>
      <x:c r="I59" s="17" t="str">
        <x:v>项</x:v>
      </x:c>
      <x:c r="J59" s="23" t="n">
        <x:v>0</x:v>
      </x:c>
      <x:c r="K59" s="23" t="n">
        <x:v>25</x:v>
      </x:c>
      <x:c r="L59" s="17" t="n">
        <x:v>26</x:v>
      </x:c>
      <x:c r="M59" s="17" t="str">
        <x:v>scored</x:v>
      </x:c>
      <x:c r="N59" s="17" t="str">
        <x:v>r_rel=0；r=100×(0.5×0.5+0.5×0)=25</x:v>
      </x:c>
      <x:c r="O59" s="17" t="str">
        <x:v>pilot-source-hengrui-2025</x:v>
      </x:c>
      <x:c r="P59" s="17" t="str">
        <x:v>当前使用有效/授权/专利存量代理，尚缺专利族、去自引前向引用和IPC年份标准化。</x:v>
      </x:c>
    </x:row>
    <x:row r="60" ht="15" hidden="0" customHeight="1">
      <x:c r="A60" s="17" t="str">
        <x:v>恒瑞医药</x:v>
      </x:c>
      <x:c r="B60" s="17" t="str">
        <x:v>600276</x:v>
      </x:c>
      <x:c r="C60" s="17" t="str">
        <x:v>化学制剂</x:v>
      </x:c>
      <x:c r="D60" s="23" t="n">
        <x:v>41.15</x:v>
      </x:c>
      <x:c r="E60" s="23" t="n">
        <x:v>0.3889</x:v>
      </x:c>
      <x:c r="F60" s="17" t="str">
        <x:v>R06</x:v>
      </x:c>
      <x:c r="G60" s="17" t="str">
        <x:v>核心技术人员占比</x:v>
      </x:c>
      <x:c r="H60" s="17" t="n">
        <x:v>27.59</x:v>
      </x:c>
      <x:c r="I60" s="17" t="str">
        <x:v>%</x:v>
      </x:c>
      <x:c r="J60" s="23" t="n">
        <x:v>0.6</x:v>
      </x:c>
      <x:c r="K60" s="23" t="n">
        <x:v>55</x:v>
      </x:c>
      <x:c r="L60" s="17" t="n">
        <x:v>26</x:v>
      </x:c>
      <x:c r="M60" s="17" t="str">
        <x:v>scored</x:v>
      </x:c>
      <x:c r="N60" s="17" t="str">
        <x:v>r_rel=0.6；r=100×(0.5×0.5+0.5×0.6)=55</x:v>
      </x:c>
      <x:c r="O60" s="17" t="str">
        <x:v>pilot-source-hengrui-2025</x:v>
      </x:c>
      <x:c r="P60" s="17" t="str">
        <x:v>以研发人员占比作为核心技术人员占比的统一代理。</x:v>
      </x:c>
    </x:row>
    <x:row r="61" ht="15" hidden="0" customHeight="1">
      <x:c r="A61" s="17" t="str">
        <x:v>恒瑞医药</x:v>
      </x:c>
      <x:c r="B61" s="17" t="str">
        <x:v>600276</x:v>
      </x:c>
      <x:c r="C61" s="17" t="str">
        <x:v>化学制剂</x:v>
      </x:c>
      <x:c r="D61" s="23" t="n">
        <x:v>41.15</x:v>
      </x:c>
      <x:c r="E61" s="23" t="n">
        <x:v>0.3889</x:v>
      </x:c>
      <x:c r="F61" s="17" t="str">
        <x:v>R07</x:v>
      </x:c>
      <x:c r="G61" s="17" t="str">
        <x:v>研发投入强度与趋势</x:v>
      </x:c>
      <x:c r="H61" s="17" t="n">
        <x:v>27.58</x:v>
      </x:c>
      <x:c r="I61" s="17" t="str">
        <x:v>%</x:v>
      </x:c>
      <x:c r="J61" s="23" t="n">
        <x:v>0</x:v>
      </x:c>
      <x:c r="K61" s="23" t="n">
        <x:v>25</x:v>
      </x:c>
      <x:c r="L61" s="17" t="n">
        <x:v>25</x:v>
      </x:c>
      <x:c r="M61" s="17" t="str">
        <x:v>scored</x:v>
      </x:c>
      <x:c r="N61" s="17" t="str">
        <x:v>r_rel=0；r=100×(0.5×0.5+0.5×0)=25</x:v>
      </x:c>
      <x:c r="O61" s="17" t="str">
        <x:v>pilot-source-hengrui-2025</x:v>
      </x:c>
      <x:c r="P61" s="17" t="str">
        <x:v>以最新研发投入强度做横截面基准，趋势信息作为后续解释。</x:v>
      </x:c>
    </x:row>
    <x:row r="62" ht="15" hidden="0" customHeight="1">
      <x:c r="A62" s="17" t="str">
        <x:v>恒瑞医药</x:v>
      </x:c>
      <x:c r="B62" s="17" t="str">
        <x:v>600276</x:v>
      </x:c>
      <x:c r="C62" s="17" t="str">
        <x:v>化学制剂</x:v>
      </x:c>
      <x:c r="D62" s="23" t="n">
        <x:v>41.15</x:v>
      </x:c>
      <x:c r="E62" s="23" t="n">
        <x:v>0.3889</x:v>
      </x:c>
      <x:c r="F62" s="17" t="str">
        <x:v>R08</x:v>
      </x:c>
      <x:c r="G62" s="17" t="str">
        <x:v>研发/募投里程碑兑现度</x:v>
      </x:c>
      <x:c r="H62" s="17"/>
      <x:c r="I62" s="17" t="str">
        <x:v>次</x:v>
      </x:c>
      <x:c r="J62" s="23"/>
      <x:c r="K62" s="23"/>
      <x:c r="L62" s="17" t="n">
        <x:v>0</x:v>
      </x:c>
      <x:c r="M62" s="17" t="str">
        <x:v>missing</x:v>
      </x:c>
      <x:c r="N62" s="17" t="str">
        <x:v>当前企业缺少可用数值；不补零，其他指标仍参与基准计算。</x:v>
      </x:c>
      <x:c r="O62" s="17"/>
      <x:c r="P62" s="17" t="str">
        <x:v>以延期、负面或变更事件数代理未兑现程度，未获得统一加权兑现率。</x:v>
      </x:c>
    </x:row>
    <x:row r="63" ht="15" hidden="0" customHeight="1">
      <x:c r="A63" s="17" t="str">
        <x:v>恒瑞医药</x:v>
      </x:c>
      <x:c r="B63" s="17" t="str">
        <x:v>600276</x:v>
      </x:c>
      <x:c r="C63" s="17" t="str">
        <x:v>化学制剂</x:v>
      </x:c>
      <x:c r="D63" s="23" t="n">
        <x:v>41.15</x:v>
      </x:c>
      <x:c r="E63" s="23" t="n">
        <x:v>0.3889</x:v>
      </x:c>
      <x:c r="F63" s="17" t="str">
        <x:v>R09</x:v>
      </x:c>
      <x:c r="G63" s="17" t="str">
        <x:v>重大技术与知识产权事件</x:v>
      </x:c>
      <x:c r="H63" s="17"/>
      <x:c r="I63" s="17" t="str">
        <x:v>项</x:v>
      </x:c>
      <x:c r="J63" s="23"/>
      <x:c r="K63" s="23"/>
      <x:c r="L63" s="17" t="n">
        <x:v>0</x:v>
      </x:c>
      <x:c r="M63" s="17" t="str">
        <x:v>missing</x:v>
      </x:c>
      <x:c r="N63" s="17" t="str">
        <x:v>当前企业缺少可用数值；不补零，其他指标仍参与基准计算。</x:v>
      </x:c>
      <x:c r="O63" s="17"/>
      <x:c r="P63" s="17" t="str">
        <x:v>不利状态和质量事件是事件数量代理，未建立损失、责任与时间系数。</x:v>
      </x:c>
    </x:row>
    <x:row r="64" ht="15" hidden="0" customHeight="1">
      <x:c r="A64" s="17" t="str">
        <x:v>恒瑞医药</x:v>
      </x:c>
      <x:c r="B64" s="17" t="str">
        <x:v>600276</x:v>
      </x:c>
      <x:c r="C64" s="17" t="str">
        <x:v>化学制剂</x:v>
      </x:c>
      <x:c r="D64" s="23" t="n">
        <x:v>41.15</x:v>
      </x:c>
      <x:c r="E64" s="23" t="n">
        <x:v>0.3889</x:v>
      </x:c>
      <x:c r="F64" s="17" t="str">
        <x:v>R10</x:v>
      </x:c>
      <x:c r="G64" s="17" t="str">
        <x:v>监管处罚次数</x:v>
      </x:c>
      <x:c r="H64" s="17" t="n">
        <x:v>0</x:v>
      </x:c>
      <x:c r="I64" s="17" t="str">
        <x:v>次</x:v>
      </x:c>
      <x:c r="J64" s="23"/>
      <x:c r="K64" s="23"/>
      <x:c r="L64" s="17" t="n">
        <x:v>1</x:v>
      </x:c>
      <x:c r="M64" s="17" t="str">
        <x:v>missing</x:v>
      </x:c>
      <x:c r="N64" s="17" t="str">
        <x:v>已取得原值，但同口径同业样本仅 1 家，无法形成风险分位。</x:v>
      </x:c>
      <x:c r="O64" s="17" t="str">
        <x:v>pilot-source-hengrui-2025</x:v>
      </x:c>
      <x:c r="P64" s="17" t="str">
        <x:v>累计处罚代理不完全等同于单季度处罚次数。</x:v>
      </x:c>
    </x:row>
    <x:row r="65" ht="15" hidden="0" customHeight="1">
      <x:c r="A65" s="17" t="str">
        <x:v>恒瑞医药</x:v>
      </x:c>
      <x:c r="B65" s="17" t="str">
        <x:v>600276</x:v>
      </x:c>
      <x:c r="C65" s="17" t="str">
        <x:v>化学制剂</x:v>
      </x:c>
      <x:c r="D65" s="23" t="n">
        <x:v>41.15</x:v>
      </x:c>
      <x:c r="E65" s="23" t="n">
        <x:v>0.3889</x:v>
      </x:c>
      <x:c r="F65" s="17" t="str">
        <x:v>R11</x:v>
      </x:c>
      <x:c r="G65" s="17" t="str">
        <x:v>交易所问询次数</x:v>
      </x:c>
      <x:c r="H65" s="17"/>
      <x:c r="I65" s="17" t="str">
        <x:v>次</x:v>
      </x:c>
      <x:c r="J65" s="23"/>
      <x:c r="K65" s="23"/>
      <x:c r="L65" s="17" t="n">
        <x:v>0</x:v>
      </x:c>
      <x:c r="M65" s="17" t="str">
        <x:v>missing</x:v>
      </x:c>
      <x:c r="N65" s="17" t="str">
        <x:v>当前企业缺少可用数值；不补零，其他指标仍参与基准计算。</x:v>
      </x:c>
      <x:c r="O65" s="17"/>
      <x:c r="P65" s="17" t="str">
        <x:v>按同口径报告期问询主题数进行行业内比较。</x:v>
      </x:c>
    </x:row>
    <x:row r="66" ht="15" hidden="0" customHeight="1">
      <x:c r="A66" s="17" t="str">
        <x:v>恒瑞医药</x:v>
      </x:c>
      <x:c r="B66" s="17" t="str">
        <x:v>600276</x:v>
      </x:c>
      <x:c r="C66" s="17" t="str">
        <x:v>化学制剂</x:v>
      </x:c>
      <x:c r="D66" s="23" t="n">
        <x:v>41.15</x:v>
      </x:c>
      <x:c r="E66" s="23" t="n">
        <x:v>0.3889</x:v>
      </x:c>
      <x:c r="F66" s="17" t="str">
        <x:v>R12</x:v>
      </x:c>
      <x:c r="G66" s="17" t="str">
        <x:v>诉讼风险</x:v>
      </x:c>
      <x:c r="H66" s="17" t="n">
        <x:v>0</x:v>
      </x:c>
      <x:c r="I66" s="17" t="str">
        <x:v>件</x:v>
      </x:c>
      <x:c r="J66" s="23"/>
      <x:c r="K66" s="23"/>
      <x:c r="L66" s="17" t="n">
        <x:v>1</x:v>
      </x:c>
      <x:c r="M66" s="17" t="str">
        <x:v>missing</x:v>
      </x:c>
      <x:c r="N66" s="17" t="str">
        <x:v>已取得原值，但同口径同业样本仅 1 家，无法形成风险分位。</x:v>
      </x:c>
      <x:c r="O66" s="17" t="str">
        <x:v>pilot-source-hengrui-2025</x:v>
      </x:c>
      <x:c r="P66" s="17" t="str">
        <x:v>不同来源分别比较案件总数、被告判决或重大诉讼披露，未统一金额占营收口径。</x:v>
      </x:c>
    </x:row>
    <x:row r="67" ht="15" hidden="0" customHeight="1">
      <x:c r="A67" s="17" t="str">
        <x:v>恒瑞医药</x:v>
      </x:c>
      <x:c r="B67" s="17" t="str">
        <x:v>600276</x:v>
      </x:c>
      <x:c r="C67" s="17" t="str">
        <x:v>化学制剂</x:v>
      </x:c>
      <x:c r="D67" s="23" t="n">
        <x:v>41.15</x:v>
      </x:c>
      <x:c r="E67" s="23" t="n">
        <x:v>0.3889</x:v>
      </x:c>
      <x:c r="F67" s="17" t="str">
        <x:v>R13</x:v>
      </x:c>
      <x:c r="G67" s="17" t="str">
        <x:v>营业收入增长率</x:v>
      </x:c>
      <x:c r="H67" s="17" t="n">
        <x:v>13.02</x:v>
      </x:c>
      <x:c r="I67" s="17" t="str">
        <x:v>%</x:v>
      </x:c>
      <x:c r="J67" s="23" t="n">
        <x:v>0.0417</x:v>
      </x:c>
      <x:c r="K67" s="23" t="n">
        <x:v>27.08</x:v>
      </x:c>
      <x:c r="L67" s="17" t="n">
        <x:v>25</x:v>
      </x:c>
      <x:c r="M67" s="17" t="str">
        <x:v>scored</x:v>
      </x:c>
      <x:c r="N67" s="17" t="str">
        <x:v>r_rel=0.0417；r=100×(0.5×0.5+0.5×0.0417)=27.08</x:v>
      </x:c>
      <x:c r="O67" s="17" t="str">
        <x:v>pilot-source-hengrui-2025</x:v>
      </x:c>
      <x:c r="P67" s="17" t="str">
        <x:v>使用最新可比报告期的营业收入同比增长率。</x:v>
      </x:c>
    </x:row>
    <x:row r="68" ht="15" hidden="0" customHeight="1">
      <x:c r="A68" s="17" t="str">
        <x:v>恒瑞医药</x:v>
      </x:c>
      <x:c r="B68" s="17" t="str">
        <x:v>600276</x:v>
      </x:c>
      <x:c r="C68" s="17" t="str">
        <x:v>化学制剂</x:v>
      </x:c>
      <x:c r="D68" s="23" t="n">
        <x:v>41.15</x:v>
      </x:c>
      <x:c r="E68" s="23" t="n">
        <x:v>0.3889</x:v>
      </x:c>
      <x:c r="F68" s="17" t="str">
        <x:v>R14</x:v>
      </x:c>
      <x:c r="G68" s="17" t="str">
        <x:v>无形资产减值风险</x:v>
      </x:c>
      <x:c r="H68" s="17" t="n">
        <x:v>2.8002</x:v>
      </x:c>
      <x:c r="I68" s="17" t="str">
        <x:v>%</x:v>
      </x:c>
      <x:c r="J68" s="23" t="n">
        <x:v>1</x:v>
      </x:c>
      <x:c r="K68" s="23" t="n">
        <x:v>75</x:v>
      </x:c>
      <x:c r="L68" s="17" t="n">
        <x:v>26</x:v>
      </x:c>
      <x:c r="M68" s="17" t="str">
        <x:v>scored</x:v>
      </x:c>
      <x:c r="N68" s="17" t="str">
        <x:v>r_rel=1；r=100×(0.5×0.5+0.5×1)=75</x:v>
      </x:c>
      <x:c r="O68" s="17" t="str">
        <x:v>pilot-source-hengrui-2025</x:v>
      </x:c>
      <x:c r="P68" s="17" t="str">
        <x:v>同口径比较无形资产占比变动或占比水平，不能替代正式减值测试。</x:v>
      </x:c>
    </x:row>
    <x:row r="69" ht="15" hidden="0" customHeight="1">
      <x:c r="A69" s="17" t="str">
        <x:v>恒瑞医药</x:v>
      </x:c>
      <x:c r="B69" s="17" t="str">
        <x:v>600276</x:v>
      </x:c>
      <x:c r="C69" s="17" t="str">
        <x:v>化学制剂</x:v>
      </x:c>
      <x:c r="D69" s="23" t="n">
        <x:v>41.15</x:v>
      </x:c>
      <x:c r="E69" s="23" t="n">
        <x:v>0.3889</x:v>
      </x:c>
      <x:c r="F69" s="17" t="str">
        <x:v>R15</x:v>
      </x:c>
      <x:c r="G69" s="17" t="str">
        <x:v>融资成本</x:v>
      </x:c>
      <x:c r="H69" s="17"/>
      <x:c r="I69" s="17" t="str">
        <x:v>%/元</x:v>
      </x:c>
      <x:c r="J69" s="23"/>
      <x:c r="K69" s="23"/>
      <x:c r="L69" s="17" t="n">
        <x:v>0</x:v>
      </x:c>
      <x:c r="M69" s="17" t="str">
        <x:v>missing</x:v>
      </x:c>
      <x:c r="N69" s="17" t="str">
        <x:v>当前企业缺少可用数值；不补零，其他指标仍参与基准计算。</x:v>
      </x:c>
      <x:c r="O69" s="17"/>
      <x:c r="P69" s="17" t="str">
        <x:v>债务成本率与利息支出分别在同口径样本内排名，未形成完整WACC。</x:v>
      </x:c>
    </x:row>
    <x:row r="70" ht="15" hidden="0" customHeight="1">
      <x:c r="A70" s="17" t="str">
        <x:v>恒瑞医药</x:v>
      </x:c>
      <x:c r="B70" s="17" t="str">
        <x:v>600276</x:v>
      </x:c>
      <x:c r="C70" s="17" t="str">
        <x:v>化学制剂</x:v>
      </x:c>
      <x:c r="D70" s="23" t="n">
        <x:v>41.15</x:v>
      </x:c>
      <x:c r="E70" s="23" t="n">
        <x:v>0.3889</x:v>
      </x:c>
      <x:c r="F70" s="17" t="str">
        <x:v>R16</x:v>
      </x:c>
      <x:c r="G70" s="17" t="str">
        <x:v>经营现金流与短期偿债压力</x:v>
      </x:c>
      <x:c r="H70" s="17" t="n">
        <x:v>363.313</x:v>
      </x:c>
      <x:c r="I70" s="17" t="str">
        <x:v>倍</x:v>
      </x:c>
      <x:c r="J70" s="23" t="n">
        <x:v>0.12</x:v>
      </x:c>
      <x:c r="K70" s="23" t="n">
        <x:v>31</x:v>
      </x:c>
      <x:c r="L70" s="17" t="n">
        <x:v>26</x:v>
      </x:c>
      <x:c r="M70" s="17" t="str">
        <x:v>scored</x:v>
      </x:c>
      <x:c r="N70" s="17" t="str">
        <x:v>r_rel=0.12；r=100×(0.5×0.5+0.5×0.12)=31</x:v>
      </x:c>
      <x:c r="O70" s="17" t="str">
        <x:v>pilot-source-hengrui-2025</x:v>
      </x:c>
      <x:c r="P70" s="17" t="str">
        <x:v>优先使用经营现金流短债覆盖率，缺失时使用现金短债比。</x:v>
      </x:c>
    </x:row>
    <x:row r="71" ht="15" hidden="0" customHeight="1">
      <x:c r="A71" s="17" t="str">
        <x:v>恒瑞医药</x:v>
      </x:c>
      <x:c r="B71" s="17" t="str">
        <x:v>600276</x:v>
      </x:c>
      <x:c r="C71" s="17" t="str">
        <x:v>化学制剂</x:v>
      </x:c>
      <x:c r="D71" s="23" t="n">
        <x:v>41.15</x:v>
      </x:c>
      <x:c r="E71" s="23" t="n">
        <x:v>0.3889</x:v>
      </x:c>
      <x:c r="F71" s="17" t="str">
        <x:v>R17</x:v>
      </x:c>
      <x:c r="G71" s="17" t="str">
        <x:v>关键供应链进口依赖度</x:v>
      </x:c>
      <x:c r="H71" s="17"/>
      <x:c r="I71" s="17" t="str">
        <x:v>家</x:v>
      </x:c>
      <x:c r="J71" s="23"/>
      <x:c r="K71" s="23"/>
      <x:c r="L71" s="17" t="n">
        <x:v>0</x:v>
      </x:c>
      <x:c r="M71" s="17" t="str">
        <x:v>missing</x:v>
      </x:c>
      <x:c r="N71" s="17" t="str">
        <x:v>当前企业缺少可用数值；不补零，其他指标仍参与基准计算。</x:v>
      </x:c>
      <x:c r="O71" s="17"/>
      <x:c r="P71" s="17" t="str">
        <x:v>以已核验境内供应商数代理，样本较小且注册地不等于生产国。</x:v>
      </x:c>
    </x:row>
    <x:row r="72" ht="15" hidden="0" customHeight="1">
      <x:c r="A72" s="17" t="str">
        <x:v>恒瑞医药</x:v>
      </x:c>
      <x:c r="B72" s="17" t="str">
        <x:v>600276</x:v>
      </x:c>
      <x:c r="C72" s="17" t="str">
        <x:v>化学制剂</x:v>
      </x:c>
      <x:c r="D72" s="23" t="n">
        <x:v>41.15</x:v>
      </x:c>
      <x:c r="E72" s="23" t="n">
        <x:v>0.3889</x:v>
      </x:c>
      <x:c r="F72" s="17" t="str">
        <x:v>R18</x:v>
      </x:c>
      <x:c r="G72" s="17" t="str">
        <x:v>海外业务收入占比</x:v>
      </x:c>
      <x:c r="H72" s="17" t="n">
        <x:v>4.261</x:v>
      </x:c>
      <x:c r="I72" s="17" t="str">
        <x:v>%</x:v>
      </x:c>
      <x:c r="J72" s="23" t="n">
        <x:v>0.3636</x:v>
      </x:c>
      <x:c r="K72" s="23" t="n">
        <x:v>43.18</x:v>
      </x:c>
      <x:c r="L72" s="17" t="n">
        <x:v>12</x:v>
      </x:c>
      <x:c r="M72" s="17" t="str">
        <x:v>scored</x:v>
      </x:c>
      <x:c r="N72" s="17" t="str">
        <x:v>r_rel=0.3636；r=100×(0.5×0.5+0.5×0.3636)=43.18</x:v>
      </x:c>
      <x:c r="O72" s="17" t="str">
        <x:v>pilot-source-hengrui-2025</x:v>
      </x:c>
      <x:c r="P72" s="17" t="str">
        <x:v>海外收入暴露不等同于实际损失，需与管制命中联合解释。</x:v>
      </x:c>
    </x:row>
    <x:row r="73" ht="15" hidden="0" customHeight="1">
      <x:c r="A73" s="17" t="str">
        <x:v>恒瑞医药</x:v>
      </x:c>
      <x:c r="B73" s="17" t="str">
        <x:v>600276</x:v>
      </x:c>
      <x:c r="C73" s="17" t="str">
        <x:v>化学制剂</x:v>
      </x:c>
      <x:c r="D73" s="23" t="n">
        <x:v>41.15</x:v>
      </x:c>
      <x:c r="E73" s="23" t="n">
        <x:v>0.3889</x:v>
      </x:c>
      <x:c r="F73" s="17" t="str">
        <x:v>R19</x:v>
      </x:c>
      <x:c r="G73" s="17" t="str">
        <x:v>出口管制与制裁暴露度</x:v>
      </x:c>
      <x:c r="H73" s="17"/>
      <x:c r="I73" s="17" t="str">
        <x:v>类清单</x:v>
      </x:c>
      <x:c r="J73" s="23"/>
      <x:c r="K73" s="23"/>
      <x:c r="L73" s="17" t="n">
        <x:v>0</x:v>
      </x:c>
      <x:c r="M73" s="17" t="str">
        <x:v>missing</x:v>
      </x:c>
      <x:c r="N73" s="17" t="str">
        <x:v>当前企业缺少可用数值；不补零，其他指标仍参与基准计算。</x:v>
      </x:c>
      <x:c r="O73" s="17"/>
      <x:c r="P73" s="17" t="str">
        <x:v>合并美国CSL与欧盟FSD精确命中数；尚缺BOM/ECCN影响比例和集团穿透。</x:v>
      </x:c>
    </x:row>
    <x:row r="74" ht="15" hidden="0" customHeight="1">
      <x:c r="A74" s="17" t="str">
        <x:v>恒瑞医药</x:v>
      </x:c>
      <x:c r="B74" s="17" t="str">
        <x:v>600276</x:v>
      </x:c>
      <x:c r="C74" s="17" t="str">
        <x:v>化学制剂</x:v>
      </x:c>
      <x:c r="D74" s="23" t="n">
        <x:v>41.15</x:v>
      </x:c>
      <x:c r="E74" s="23" t="n">
        <x:v>0.3889</x:v>
      </x:c>
      <x:c r="F74" s="17" t="str">
        <x:v>R20</x:v>
      </x:c>
      <x:c r="G74" s="17" t="str">
        <x:v>控制权稀释与稳定性</x:v>
      </x:c>
      <x:c r="H74" s="17"/>
      <x:c r="I74" s="17" t="str">
        <x:v>%</x:v>
      </x:c>
      <x:c r="J74" s="23"/>
      <x:c r="K74" s="23"/>
      <x:c r="L74" s="17" t="n">
        <x:v>0</x:v>
      </x:c>
      <x:c r="M74" s="17" t="str">
        <x:v>missing</x:v>
      </x:c>
      <x:c r="N74" s="17" t="str">
        <x:v>当前企业缺少可用数值；不补零，其他指标仍参与基准计算。</x:v>
      </x:c>
      <x:c r="O74" s="17"/>
      <x:c r="P74" s="17" t="str">
        <x:v>以可获得的最大控制人持股比例代理，尚缺表决权协议和一致行动关系。</x:v>
      </x:c>
    </x:row>
    <x:row r="75" ht="15" hidden="0" customHeight="1">
      <x:c r="A75" s="17" t="str">
        <x:v>恒瑞医药</x:v>
      </x:c>
      <x:c r="B75" s="17" t="str">
        <x:v>600276</x:v>
      </x:c>
      <x:c r="C75" s="17" t="str">
        <x:v>化学制剂</x:v>
      </x:c>
      <x:c r="D75" s="23" t="n">
        <x:v>41.15</x:v>
      </x:c>
      <x:c r="E75" s="23" t="n">
        <x:v>0.3889</x:v>
      </x:c>
      <x:c r="F75" s="17" t="str">
        <x:v>R21</x:v>
      </x:c>
      <x:c r="G75" s="17" t="str">
        <x:v>高管关联风险暴露度</x:v>
      </x:c>
      <x:c r="H75" s="17"/>
      <x:c r="I75" s="17" t="str">
        <x:v>条</x:v>
      </x:c>
      <x:c r="J75" s="23"/>
      <x:c r="K75" s="23"/>
      <x:c r="L75" s="17" t="n">
        <x:v>0</x:v>
      </x:c>
      <x:c r="M75" s="17" t="str">
        <x:v>missing</x:v>
      </x:c>
      <x:c r="N75" s="17" t="str">
        <x:v>当前企业缺少可用数值；不补零，其他指标仍参与基准计算。</x:v>
      </x:c>
      <x:c r="O75" s="17"/>
      <x:c r="P75" s="17" t="str">
        <x:v>以企业/境内主体风险聚合代理高管关联暴露，关联风险不等于人员本人违法。</x:v>
      </x:c>
    </x:row>
    <x:row r="76" ht="15" hidden="0" customHeight="1">
      <x:c r="A76" s="17" t="str">
        <x:v>恒瑞医药</x:v>
      </x:c>
      <x:c r="B76" s="17" t="str">
        <x:v>600276</x:v>
      </x:c>
      <x:c r="C76" s="17" t="str">
        <x:v>化学制剂</x:v>
      </x:c>
      <x:c r="D76" s="23" t="n">
        <x:v>41.15</x:v>
      </x:c>
      <x:c r="E76" s="23" t="n">
        <x:v>0.3889</x:v>
      </x:c>
      <x:c r="F76" s="17" t="str">
        <x:v>R22</x:v>
      </x:c>
      <x:c r="G76" s="17" t="str">
        <x:v>关键管理与技术人员稳定性</x:v>
      </x:c>
      <x:c r="H76" s="17"/>
      <x:c r="I76" s="17" t="str">
        <x:v>人/事件</x:v>
      </x:c>
      <x:c r="J76" s="23"/>
      <x:c r="K76" s="23"/>
      <x:c r="L76" s="17" t="n">
        <x:v>0</x:v>
      </x:c>
      <x:c r="M76" s="17" t="str">
        <x:v>missing</x:v>
      </x:c>
      <x:c r="N76" s="17" t="str">
        <x:v>当前企业缺少可用数值；不补零，其他指标仍参与基准计算。</x:v>
      </x:c>
      <x:c r="O76" s="17"/>
      <x:c r="P76" s="17" t="str">
        <x:v>以核心技术人员离职/变更事件数代理流失率，尚缺统一期初人数分母。</x:v>
      </x:c>
    </x:row>
  </x:sheetData>
  <x:mergeCells>
    <x:mergeCell ref="A1:P2"/>
    <x:mergeCell ref="A3:P3"/>
  </x:mergeCells>
  <x:conditionalFormatting sqref="K5:K76">
    <x:cfRule type="colorScale" priority="1">
      <x:colorScale>
        <x:cfvo type="min"/>
        <x:cfvo type="percentile" val="50"/>
        <x:cfvo type="max"/>
        <x:color rgb="FFE2F0D9"/>
        <x:color rgb="FFFFF2CC"/>
        <x:color rgb="FFFCE4E4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28" hidden="0" customWidth="1"/>
    <x:col min="5" max="5" width="14" hidden="0" customWidth="1"/>
    <x:col min="6" max="6" width="10" hidden="0" customWidth="1"/>
    <x:col min="7" max="7" width="11" hidden="0" customWidth="1"/>
    <x:col min="8" max="8" width="14" hidden="0" customWidth="1"/>
    <x:col min="9" max="9" width="20" hidden="0" customWidth="1"/>
    <x:col min="10" max="10" width="46" hidden="0" customWidth="1"/>
  </x:cols>
  <x:sheetData>
    <x:row r="1" ht="34" customHeight="1">
      <x:c r="A1" s="4" t="str">
        <x:v>关键观测与风险解释</x:v>
      </x:c>
      <x:c r="B1" s="4" t="str">
        <x:v>关键观测与风险解释</x:v>
      </x:c>
      <x:c r="C1" s="4" t="str">
        <x:v>关键观测与风险解释</x:v>
      </x:c>
      <x:c r="D1" s="4" t="str">
        <x:v>关键观测与风险解释</x:v>
      </x:c>
      <x:c r="E1" s="4" t="str">
        <x:v>关键观测与风险解释</x:v>
      </x:c>
      <x:c r="F1" s="4" t="str">
        <x:v>关键观测与风险解释</x:v>
      </x:c>
      <x:c r="G1" s="4" t="str">
        <x:v>关键观测与风险解释</x:v>
      </x:c>
      <x:c r="H1" s="4" t="str">
        <x:v>关键观测与风险解释</x:v>
      </x:c>
      <x:c r="I1" s="4" t="str">
        <x:v>关键观测与风险解释</x:v>
      </x:c>
      <x:c r="J1" s="4" t="str">
        <x:v>关键观测与风险解释</x:v>
      </x:c>
    </x:row>
    <x:row r="2" ht="34" customHeight="1">
      <x:c r="A2" s="4" t="str">
        <x:v>关键观测与风险解释</x:v>
      </x:c>
      <x:c r="B2" s="4" t="str">
        <x:v>关键观测与风险解释</x:v>
      </x:c>
      <x:c r="C2" s="4" t="str">
        <x:v>关键观测与风险解释</x:v>
      </x:c>
      <x:c r="D2" s="4" t="str">
        <x:v>关键观测与风险解释</x:v>
      </x:c>
      <x:c r="E2" s="4" t="str">
        <x:v>关键观测与风险解释</x:v>
      </x:c>
      <x:c r="F2" s="4" t="str">
        <x:v>关键观测与风险解释</x:v>
      </x:c>
      <x:c r="G2" s="4" t="str">
        <x:v>关键观测与风险解释</x:v>
      </x:c>
      <x:c r="H2" s="4" t="str">
        <x:v>关键观测与风险解释</x:v>
      </x:c>
      <x:c r="I2" s="4" t="str">
        <x:v>关键观测与风险解释</x:v>
      </x:c>
      <x:c r="J2" s="4" t="str">
        <x:v>关键观测与风险解释</x:v>
      </x:c>
    </x:row>
    <x:row r="3" ht="28" customHeight="1">
      <x:c r="A3" s="7" t="str">
        <x:v>数值均保留时间口径。燧原招股书数据是冻结日后的验证信息；华微行政处罚是结果标签，均不倒灌进预测特征。</x:v>
      </x:c>
      <x:c r="B3" s="7" t="str">
        <x:v>数值均保留时间口径。燧原招股书数据是冻结日后的验证信息；华微行政处罚是结果标签，均不倒灌进预测特征。</x:v>
      </x:c>
      <x:c r="C3" s="7" t="str">
        <x:v>数值均保留时间口径。燧原招股书数据是冻结日后的验证信息；华微行政处罚是结果标签，均不倒灌进预测特征。</x:v>
      </x:c>
      <x:c r="D3" s="7" t="str">
        <x:v>数值均保留时间口径。燧原招股书数据是冻结日后的验证信息；华微行政处罚是结果标签，均不倒灌进预测特征。</x:v>
      </x:c>
      <x:c r="E3" s="7" t="str">
        <x:v>数值均保留时间口径。燧原招股书数据是冻结日后的验证信息；华微行政处罚是结果标签，均不倒灌进预测特征。</x:v>
      </x:c>
      <x:c r="F3" s="7" t="str">
        <x:v>数值均保留时间口径。燧原招股书数据是冻结日后的验证信息；华微行政处罚是结果标签，均不倒灌进预测特征。</x:v>
      </x:c>
      <x:c r="G3" s="7" t="str">
        <x:v>数值均保留时间口径。燧原招股书数据是冻结日后的验证信息；华微行政处罚是结果标签，均不倒灌进预测特征。</x:v>
      </x:c>
      <x:c r="H3" s="7" t="str">
        <x:v>数值均保留时间口径。燧原招股书数据是冻结日后的验证信息；华微行政处罚是结果标签，均不倒灌进预测特征。</x:v>
      </x:c>
      <x:c r="I3" s="7" t="str">
        <x:v>数值均保留时间口径。燧原招股书数据是冻结日后的验证信息；华微行政处罚是结果标签，均不倒灌进预测特征。</x:v>
      </x:c>
      <x:c r="J3" s="7" t="str">
        <x:v>数值均保留时间口径。燧原招股书数据是冻结日后的验证信息；华微行政处罚是结果标签，均不倒灌进预测特征。</x:v>
      </x:c>
    </x:row>
    <x:row r="4" ht="24" hidden="0" customHeight="1">
      <x:c r="A4" s="13" t="str">
        <x:v>企业</x:v>
      </x:c>
      <x:c r="B4" s="13" t="str">
        <x:v>窗口</x:v>
      </x:c>
      <x:c r="C4" s="13" t="str">
        <x:v>类别</x:v>
      </x:c>
      <x:c r="D4" s="13" t="str">
        <x:v>观测</x:v>
      </x:c>
      <x:c r="E4" s="13" t="str">
        <x:v>数值</x:v>
      </x:c>
      <x:c r="F4" s="13" t="str">
        <x:v>单位</x:v>
      </x:c>
      <x:c r="G4" s="13" t="str">
        <x:v>风险方向</x:v>
      </x:c>
      <x:c r="H4" s="13" t="str">
        <x:v>是否进客观分</x:v>
      </x:c>
      <x:c r="I4" s="13" t="str">
        <x:v>来源</x:v>
      </x:c>
      <x:c r="J4" s="13" t="str">
        <x:v>说明</x:v>
      </x:c>
    </x:row>
    <x:row r="5" ht="32.400001525878906" hidden="0" customHeight="1">
      <x:c r="A5" s="17" t="str">
        <x:v>寒武纪</x:v>
      </x:c>
      <x:c r="B5" s="17" t="str">
        <x:v>2025/2026H1</x:v>
      </x:c>
      <x:c r="C5" s="17" t="str">
        <x:v>增长</x:v>
      </x:c>
      <x:c r="D5" s="17" t="str">
        <x:v>2025营收同比</x:v>
      </x:c>
      <x:c r="E5" s="17" t="n">
        <x:v>453.21</x:v>
      </x:c>
      <x:c r="F5" s="17" t="str">
        <x:v>%</x:v>
      </x:c>
      <x:c r="G5" s="17" t="str">
        <x:v>缓释</x:v>
      </x:c>
      <x:c r="H5" s="17" t="str">
        <x:v>是</x:v>
      </x:c>
      <x:c r="I5" s="17" t="str">
        <x:v>2025年报</x:v>
      </x:c>
      <x:c r="J5" s="17" t="str">
        <x:v>低基数与放量并存；同比需缩尾</x:v>
      </x:c>
    </x:row>
    <x:row r="6" ht="43.20000076293945" hidden="0" customHeight="1">
      <x:c r="A6" s="17" t="str">
        <x:v>寒武纪</x:v>
      </x:c>
      <x:c r="B6" s="17" t="str">
        <x:v>2026-08</x:v>
      </x:c>
      <x:c r="C6" s="17" t="str">
        <x:v>外部</x:v>
      </x:c>
      <x:c r="D6" s="17" t="str">
        <x:v>美国合并筛查清单命中</x:v>
      </x:c>
      <x:c r="E6" s="17" t="n">
        <x:v>1</x:v>
      </x:c>
      <x:c r="F6" s="17" t="str">
        <x:v>类清单</x:v>
      </x:c>
      <x:c r="G6" s="17" t="str">
        <x:v>升高</x:v>
      </x:c>
      <x:c r="H6" s="17" t="str">
        <x:v>是</x:v>
      </x:c>
      <x:c r="I6" s="17" t="str">
        <x:v>美国CSL</x:v>
      </x:c>
      <x:c r="J6" s="17" t="str">
        <x:v>命中不等于损失，需结合BOM/ECCN</x:v>
      </x:c>
    </x:row>
    <x:row r="7" ht="32.400001525878906" hidden="0" customHeight="1">
      <x:c r="A7" s="17" t="str">
        <x:v>寒武纪</x:v>
      </x:c>
      <x:c r="B7" s="17" t="str">
        <x:v>2026-06</x:v>
      </x:c>
      <x:c r="C7" s="17" t="str">
        <x:v>诉讼</x:v>
      </x:c>
      <x:c r="D7" s="17" t="str">
        <x:v>重大待决诉讼请求金额</x:v>
      </x:c>
      <x:c r="E7" s="17" t="n">
        <x:v>42.86624448</x:v>
      </x:c>
      <x:c r="F7" s="17" t="str">
        <x:v>亿元</x:v>
      </x:c>
      <x:c r="G7" s="17" t="str">
        <x:v>升高</x:v>
      </x:c>
      <x:c r="H7" s="17" t="str">
        <x:v>是</x:v>
      </x:c>
      <x:c r="I7" s="17" t="str">
        <x:v>半年报/公告</x:v>
      </x:c>
      <x:c r="J7" s="17" t="str">
        <x:v>请求金额不等于最终责任</x:v>
      </x:c>
    </x:row>
    <x:row r="8" ht="32.400001525878906" hidden="0" customHeight="1">
      <x:c r="A8" s="17" t="str">
        <x:v>寒武纪</x:v>
      </x:c>
      <x:c r="B8" s="17" t="str">
        <x:v>2025</x:v>
      </x:c>
      <x:c r="C8" s="17" t="str">
        <x:v>客户</x:v>
      </x:c>
      <x:c r="D8" s="17" t="str">
        <x:v>前五大客户集中度</x:v>
      </x:c>
      <x:c r="E8" s="17" t="n">
        <x:v>88.66</x:v>
      </x:c>
      <x:c r="F8" s="17" t="str">
        <x:v>%</x:v>
      </x:c>
      <x:c r="G8" s="17" t="str">
        <x:v>升高</x:v>
      </x:c>
      <x:c r="H8" s="17" t="str">
        <x:v>否（解释）</x:v>
      </x:c>
      <x:c r="I8" s="17" t="str">
        <x:v>2025年报</x:v>
      </x:c>
      <x:c r="J8" s="17" t="str">
        <x:v>客户集中仍是重点观察项</x:v>
      </x:c>
    </x:row>
    <x:row r="9" ht="32.400001525878906" hidden="0" customHeight="1">
      <x:c r="A9" s="17" t="str">
        <x:v>燧原科技</x:v>
      </x:c>
      <x:c r="B9" s="17" t="str">
        <x:v>2025</x:v>
      </x:c>
      <x:c r="C9" s="17" t="str">
        <x:v>现金流</x:v>
      </x:c>
      <x:c r="D9" s="17" t="str">
        <x:v>经营现金流</x:v>
      </x:c>
      <x:c r="E9" s="17" t="n">
        <x:v>-9.650871</x:v>
      </x:c>
      <x:c r="F9" s="17" t="str">
        <x:v>亿元</x:v>
      </x:c>
      <x:c r="G9" s="17" t="str">
        <x:v>升高</x:v>
      </x:c>
      <x:c r="H9" s="17" t="str">
        <x:v>是（后验）</x:v>
      </x:c>
      <x:c r="I9" s="17" t="str">
        <x:v>招股意向书</x:v>
      </x:c>
      <x:c r="J9" s="17" t="str">
        <x:v>连续为负，研发投入刚性</x:v>
      </x:c>
    </x:row>
    <x:row r="10" ht="32.400001525878906" hidden="0" customHeight="1">
      <x:c r="A10" s="17" t="str">
        <x:v>燧原科技</x:v>
      </x:c>
      <x:c r="B10" s="17" t="str">
        <x:v>2025</x:v>
      </x:c>
      <x:c r="C10" s="17" t="str">
        <x:v>客户</x:v>
      </x:c>
      <x:c r="D10" s="17" t="str">
        <x:v>第一大终端客户直接收入占比</x:v>
      </x:c>
      <x:c r="E10" s="17" t="n">
        <x:v>74.9</x:v>
      </x:c>
      <x:c r="F10" s="17" t="str">
        <x:v>%</x:v>
      </x:c>
      <x:c r="G10" s="17" t="str">
        <x:v>升高</x:v>
      </x:c>
      <x:c r="H10" s="17" t="str">
        <x:v>否（解释）</x:v>
      </x:c>
      <x:c r="I10" s="17" t="str">
        <x:v>招股意向书</x:v>
      </x:c>
      <x:c r="J10" s="17" t="str">
        <x:v>加AVAP口径为83.79%</x:v>
      </x:c>
    </x:row>
    <x:row r="11" ht="32.400001525878906" hidden="0" customHeight="1">
      <x:c r="A11" s="17" t="str">
        <x:v>燧原科技</x:v>
      </x:c>
      <x:c r="B11" s="17" t="str">
        <x:v>2025</x:v>
      </x:c>
      <x:c r="C11" s="17" t="str">
        <x:v>研发</x:v>
      </x:c>
      <x:c r="D11" s="17" t="str">
        <x:v>研发费用率</x:v>
      </x:c>
      <x:c r="E11" s="17" t="n">
        <x:v>114.63</x:v>
      </x:c>
      <x:c r="F11" s="17" t="str">
        <x:v>%</x:v>
      </x:c>
      <x:c r="G11" s="17" t="str">
        <x:v>两面性</x:v>
      </x:c>
      <x:c r="H11" s="17" t="str">
        <x:v>是（后验）</x:v>
      </x:c>
      <x:c r="I11" s="17" t="str">
        <x:v>招股意向书</x:v>
      </x:c>
      <x:c r="J11" s="17" t="str">
        <x:v>技术投入强但短期盈利承压</x:v>
      </x:c>
    </x:row>
    <x:row r="12" ht="21.600000381469727" hidden="0" customHeight="1">
      <x:c r="A12" s="17" t="str">
        <x:v>华微电子</x:v>
      </x:c>
      <x:c r="B12" s="17" t="str">
        <x:v>2022盲测</x:v>
      </x:c>
      <x:c r="C12" s="17" t="str">
        <x:v>增长</x:v>
      </x:c>
      <x:c r="D12" s="17" t="str">
        <x:v>营业收入同比</x:v>
      </x:c>
      <x:c r="E12" s="17" t="n">
        <x:v>-11.62</x:v>
      </x:c>
      <x:c r="F12" s="17" t="str">
        <x:v>%</x:v>
      </x:c>
      <x:c r="G12" s="17" t="str">
        <x:v>升高</x:v>
      </x:c>
      <x:c r="H12" s="17" t="str">
        <x:v>是</x:v>
      </x:c>
      <x:c r="I12" s="17" t="str">
        <x:v>2022年报</x:v>
      </x:c>
      <x:c r="J12" s="17" t="str">
        <x:v>盲测可见</x:v>
      </x:c>
    </x:row>
    <x:row r="13" ht="21.600000381469727" hidden="0" customHeight="1">
      <x:c r="A13" s="17" t="str">
        <x:v>华微电子</x:v>
      </x:c>
      <x:c r="B13" s="17" t="str">
        <x:v>2022盲测</x:v>
      </x:c>
      <x:c r="C13" s="17" t="str">
        <x:v>技术</x:v>
      </x:c>
      <x:c r="D13" s="17" t="str">
        <x:v>研发投入强度</x:v>
      </x:c>
      <x:c r="E13" s="17" t="n">
        <x:v>5.39</x:v>
      </x:c>
      <x:c r="F13" s="17" t="str">
        <x:v>%</x:v>
      </x:c>
      <x:c r="G13" s="17" t="str">
        <x:v>升高</x:v>
      </x:c>
      <x:c r="H13" s="17" t="str">
        <x:v>是</x:v>
      </x:c>
      <x:c r="I13" s="17" t="str">
        <x:v>2022年报</x:v>
      </x:c>
      <x:c r="J13" s="17" t="str">
        <x:v>在芯片同业中偏低</x:v>
      </x:c>
    </x:row>
    <x:row r="14" ht="15" hidden="0" customHeight="1">
      <x:c r="A14" s="17" t="str">
        <x:v>华微电子</x:v>
      </x:c>
      <x:c r="B14" s="17" t="str">
        <x:v>2022盲测</x:v>
      </x:c>
      <x:c r="C14" s="17" t="str">
        <x:v>披露</x:v>
      </x:c>
      <x:c r="D14" s="17" t="str">
        <x:v>PDQI风险</x:v>
      </x:c>
      <x:c r="E14" s="17" t="n">
        <x:f>'叙事指标'!L7</x:f>
        <x:v>69.07367623604466</x:v>
      </x:c>
      <x:c r="F14" s="17" t="str">
        <x:v>%</x:v>
      </x:c>
      <x:c r="G14" s="17" t="str">
        <x:v>升高</x:v>
      </x:c>
      <x:c r="H14" s="17" t="str">
        <x:v>叙事增强</x:v>
      </x:c>
      <x:c r="I14" s="17" t="str">
        <x:v>叙事指标表</x:v>
      </x:c>
      <x:c r="J14" s="17" t="str">
        <x:v>公式引用</x:v>
      </x:c>
    </x:row>
    <x:row r="15" ht="32.400001525878906" hidden="0" customHeight="1">
      <x:c r="A15" s="17" t="str">
        <x:v>恒瑞医药</x:v>
      </x:c>
      <x:c r="B15" s="17" t="str">
        <x:v>2025</x:v>
      </x:c>
      <x:c r="C15" s="17" t="str">
        <x:v>研发</x:v>
      </x:c>
      <x:c r="D15" s="17" t="str">
        <x:v>研发投入强度</x:v>
      </x:c>
      <x:c r="E15" s="17" t="n">
        <x:v>27.58</x:v>
      </x:c>
      <x:c r="F15" s="17" t="str">
        <x:v>%</x:v>
      </x:c>
      <x:c r="G15" s="17" t="str">
        <x:v>缓释</x:v>
      </x:c>
      <x:c r="H15" s="17" t="str">
        <x:v>是</x:v>
      </x:c>
      <x:c r="I15" s="17" t="str">
        <x:v>2025年报</x:v>
      </x:c>
      <x:c r="J15" s="17" t="str">
        <x:v>高投入同时关注资本化比例</x:v>
      </x:c>
    </x:row>
    <x:row r="16" ht="21.600000381469727" hidden="0" customHeight="1">
      <x:c r="A16" s="17" t="str">
        <x:v>恒瑞医药</x:v>
      </x:c>
      <x:c r="B16" s="17" t="str">
        <x:v>2025</x:v>
      </x:c>
      <x:c r="C16" s="17" t="str">
        <x:v>管线</x:v>
      </x:c>
      <x:c r="D16" s="17" t="str">
        <x:v>创新药销售收入</x:v>
      </x:c>
      <x:c r="E16" s="17" t="n">
        <x:v>163.42</x:v>
      </x:c>
      <x:c r="F16" s="17" t="str">
        <x:v>亿元</x:v>
      </x:c>
      <x:c r="G16" s="17" t="str">
        <x:v>缓释</x:v>
      </x:c>
      <x:c r="H16" s="17" t="str">
        <x:v>否（解释）</x:v>
      </x:c>
      <x:c r="I16" s="17" t="str">
        <x:v>2025年报</x:v>
      </x:c>
      <x:c r="J16" s="17" t="str">
        <x:v>有商业化兑现</x:v>
      </x:c>
    </x:row>
    <x:row r="17" ht="32.400001525878906" hidden="0" customHeight="1">
      <x:c r="A17" s="17" t="str">
        <x:v>恒瑞医药</x:v>
      </x:c>
      <x:c r="B17" s="17" t="str">
        <x:v>2025</x:v>
      </x:c>
      <x:c r="C17" s="17" t="str">
        <x:v>授权</x:v>
      </x:c>
      <x:c r="D17" s="17" t="str">
        <x:v>License-out收入</x:v>
      </x:c>
      <x:c r="E17" s="17" t="n">
        <x:v>33.92</x:v>
      </x:c>
      <x:c r="F17" s="17" t="str">
        <x:v>亿元</x:v>
      </x:c>
      <x:c r="G17" s="17" t="str">
        <x:v>两面性</x:v>
      </x:c>
      <x:c r="H17" s="17" t="str">
        <x:v>否（解释）</x:v>
      </x:c>
      <x:c r="I17" s="17" t="str">
        <x:v>2025年报</x:v>
      </x:c>
      <x:c r="J17" s="17" t="str">
        <x:v>单期许可收入会放大同比波动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36" hidden="0" customWidth="1"/>
    <x:col min="5" max="5" width="13" hidden="0" customWidth="1"/>
    <x:col min="6" max="6" width="70" hidden="0" customWidth="1"/>
    <x:col min="7" max="7" width="18" hidden="0" customWidth="1"/>
    <x:col min="8" max="8" width="18" hidden="0" customWidth="1"/>
    <x:col min="9" max="9" width="16" hidden="0" customWidth="1"/>
    <x:col min="10" max="10" width="10" hidden="0" customWidth="1"/>
    <x:col min="11" max="11" width="48" hidden="0" customWidth="1"/>
  </x:cols>
  <x:sheetData>
    <x:row r="1" ht="34" customHeight="1">
      <x:c r="A1" s="4" t="str">
        <x:v>来源台账</x:v>
      </x:c>
      <x:c r="B1" s="4" t="str">
        <x:v>来源台账</x:v>
      </x:c>
      <x:c r="C1" s="4" t="str">
        <x:v>来源台账</x:v>
      </x:c>
      <x:c r="D1" s="4" t="str">
        <x:v>来源台账</x:v>
      </x:c>
      <x:c r="E1" s="4" t="str">
        <x:v>来源台账</x:v>
      </x:c>
      <x:c r="F1" s="4" t="str">
        <x:v>来源台账</x:v>
      </x:c>
      <x:c r="G1" s="4" t="str">
        <x:v>来源台账</x:v>
      </x:c>
      <x:c r="H1" s="4" t="str">
        <x:v>来源台账</x:v>
      </x:c>
      <x:c r="I1" s="4" t="str">
        <x:v>来源台账</x:v>
      </x:c>
      <x:c r="J1" s="4" t="str">
        <x:v>来源台账</x:v>
      </x:c>
      <x:c r="K1" s="4" t="str">
        <x:v>来源台账</x:v>
      </x:c>
    </x:row>
    <x:row r="2" ht="34" customHeight="1">
      <x:c r="A2" s="4" t="str">
        <x:v>来源台账</x:v>
      </x:c>
      <x:c r="B2" s="4" t="str">
        <x:v>来源台账</x:v>
      </x:c>
      <x:c r="C2" s="4" t="str">
        <x:v>来源台账</x:v>
      </x:c>
      <x:c r="D2" s="4" t="str">
        <x:v>来源台账</x:v>
      </x:c>
      <x:c r="E2" s="4" t="str">
        <x:v>来源台账</x:v>
      </x:c>
      <x:c r="F2" s="4" t="str">
        <x:v>来源台账</x:v>
      </x:c>
      <x:c r="G2" s="4" t="str">
        <x:v>来源台账</x:v>
      </x:c>
      <x:c r="H2" s="4" t="str">
        <x:v>来源台账</x:v>
      </x:c>
      <x:c r="I2" s="4" t="str">
        <x:v>来源台账</x:v>
      </x:c>
      <x:c r="J2" s="4" t="str">
        <x:v>来源台账</x:v>
      </x:c>
      <x:c r="K2" s="4" t="str">
        <x:v>来源台账</x:v>
      </x:c>
    </x:row>
    <x:row r="3" ht="28" customHeight="1">
      <x:c r="A3" s="7" t="str">
        <x:v>优先公司正式披露、交易所、证监会及政府清单。转载仅用于定位，不作为最终结论的唯一依据。所有网页均于2026-08-26复核或沿用已审计来源批次。</x:v>
      </x:c>
      <x:c r="B3" s="7" t="str">
        <x:v>优先公司正式披露、交易所、证监会及政府清单。转载仅用于定位，不作为最终结论的唯一依据。所有网页均于2026-08-26复核或沿用已审计来源批次。</x:v>
      </x:c>
      <x:c r="C3" s="7" t="str">
        <x:v>优先公司正式披露、交易所、证监会及政府清单。转载仅用于定位，不作为最终结论的唯一依据。所有网页均于2026-08-26复核或沿用已审计来源批次。</x:v>
      </x:c>
      <x:c r="D3" s="7" t="str">
        <x:v>优先公司正式披露、交易所、证监会及政府清单。转载仅用于定位，不作为最终结论的唯一依据。所有网页均于2026-08-26复核或沿用已审计来源批次。</x:v>
      </x:c>
      <x:c r="E3" s="7" t="str">
        <x:v>优先公司正式披露、交易所、证监会及政府清单。转载仅用于定位，不作为最终结论的唯一依据。所有网页均于2026-08-26复核或沿用已审计来源批次。</x:v>
      </x:c>
      <x:c r="F3" s="7" t="str">
        <x:v>优先公司正式披露、交易所、证监会及政府清单。转载仅用于定位，不作为最终结论的唯一依据。所有网页均于2026-08-26复核或沿用已审计来源批次。</x:v>
      </x:c>
      <x:c r="G3" s="7" t="str">
        <x:v>优先公司正式披露、交易所、证监会及政府清单。转载仅用于定位，不作为最终结论的唯一依据。所有网页均于2026-08-26复核或沿用已审计来源批次。</x:v>
      </x:c>
      <x:c r="H3" s="7" t="str">
        <x:v>优先公司正式披露、交易所、证监会及政府清单。转载仅用于定位，不作为最终结论的唯一依据。所有网页均于2026-08-26复核或沿用已审计来源批次。</x:v>
      </x:c>
      <x:c r="I3" s="7" t="str">
        <x:v>优先公司正式披露、交易所、证监会及政府清单。转载仅用于定位，不作为最终结论的唯一依据。所有网页均于2026-08-26复核或沿用已审计来源批次。</x:v>
      </x:c>
      <x:c r="J3" s="7" t="str">
        <x:v>优先公司正式披露、交易所、证监会及政府清单。转载仅用于定位，不作为最终结论的唯一依据。所有网页均于2026-08-26复核或沿用已审计来源批次。</x:v>
      </x:c>
      <x:c r="K3" s="7" t="str">
        <x:v>优先公司正式披露、交易所、证监会及政府清单。转载仅用于定位，不作为最终结论的唯一依据。所有网页均于2026-08-26复核或沿用已审计来源批次。</x:v>
      </x:c>
    </x:row>
    <x:row r="4" ht="15" hidden="0" customHeight="1">
      <x:c r="A4" s="13" t="str">
        <x:v>来源ID</x:v>
      </x:c>
      <x:c r="B4" s="13" t="str">
        <x:v>企业</x:v>
      </x:c>
      <x:c r="C4" s="13" t="str">
        <x:v>类型</x:v>
      </x:c>
      <x:c r="D4" s="13" t="str">
        <x:v>标题</x:v>
      </x:c>
      <x:c r="E4" s="13" t="str">
        <x:v>发布日期</x:v>
      </x:c>
      <x:c r="F4" s="13" t="str">
        <x:v>URL/本地文件</x:v>
      </x:c>
      <x:c r="G4" s="13" t="str">
        <x:v>页码/范围</x:v>
      </x:c>
      <x:c r="H4" s="13" t="str">
        <x:v>相对冻结日</x:v>
      </x:c>
      <x:c r="I4" s="13" t="str">
        <x:v>用途</x:v>
      </x:c>
      <x:c r="J4" s="13" t="str">
        <x:v>置信度</x:v>
      </x:c>
      <x:c r="K4" s="13" t="str">
        <x:v>限制</x:v>
      </x:c>
    </x:row>
    <x:row r="5" ht="15" hidden="0" customHeight="1">
      <x:c r="A5" s="17" t="str">
        <x:v>SRC-CAM-AR25</x:v>
      </x:c>
      <x:c r="B5" s="17" t="str">
        <x:v>寒武纪</x:v>
      </x:c>
      <x:c r="C5" s="17" t="str">
        <x:v>官方年报</x:v>
      </x:c>
      <x:c r="D5" s="17" t="str">
        <x:v>2025年年度报告</x:v>
      </x:c>
      <x:c r="E5" s="17" t="str">
        <x:v>2026-03-13</x:v>
      </x:c>
      <x:c r="F5" s="17" t="str">
        <x:v>https://www.sse.com.cn/disclosure/listedinfo/announcement/c/new/2026-03-13/688256_20260313_GWH3.pdf</x:v>
      </x:c>
      <x:c r="G5" s="17" t="str">
        <x:v>13-38及财务页</x:v>
      </x:c>
      <x:c r="H5" s="17" t="str">
        <x:v>冻结日前</x:v>
      </x:c>
      <x:c r="I5" s="17" t="str">
        <x:v>叙事+客观</x:v>
      </x:c>
      <x:c r="J5" s="17" t="str">
        <x:v>高</x:v>
      </x:c>
      <x:c r="K5" s="17" t="str">
        <x:v>年报自述需与第三方/事件交叉验证</x:v>
      </x:c>
    </x:row>
    <x:row r="6" ht="15" hidden="0" customHeight="1">
      <x:c r="A6" s="17" t="str">
        <x:v>SRC-CAM-H126</x:v>
      </x:c>
      <x:c r="B6" s="17" t="str">
        <x:v>寒武纪</x:v>
      </x:c>
      <x:c r="C6" s="17" t="str">
        <x:v>官方半年报</x:v>
      </x:c>
      <x:c r="D6" s="17" t="str">
        <x:v>2026年半年度报告</x:v>
      </x:c>
      <x:c r="E6" s="17" t="str">
        <x:v>2026-08-08</x:v>
      </x:c>
      <x:c r="F6" s="17" t="str">
        <x:v>https://www.sse.com.cn/disclosure/listedinfo/announcement/c/new/2026-08-08/688256_20260808_TUNG.pdf</x:v>
      </x:c>
      <x:c r="G6" s="17" t="str">
        <x:v>指标页</x:v>
      </x:c>
      <x:c r="H6" s="17" t="str">
        <x:v>冻结日前</x:v>
      </x:c>
      <x:c r="I6" s="17" t="str">
        <x:v>客观</x:v>
      </x:c>
      <x:c r="J6" s="17" t="str">
        <x:v>高</x:v>
      </x:c>
      <x:c r="K6" s="17" t="str">
        <x:v>半年度与年度指标需区分</x:v>
      </x:c>
    </x:row>
    <x:row r="7" ht="15" hidden="0" customHeight="1">
      <x:c r="A7" s="17" t="str">
        <x:v>SRC-CAM-RS25</x:v>
      </x:c>
      <x:c r="B7" s="17" t="str">
        <x:v>寒武纪</x:v>
      </x:c>
      <x:c r="C7" s="17" t="str">
        <x:v>上证路演</x:v>
      </x:c>
      <x:c r="D7" s="17" t="str">
        <x:v>2025年年度业绩说明会</x:v>
      </x:c>
      <x:c r="E7" s="17" t="str">
        <x:v>2026-04-22</x:v>
      </x:c>
      <x:c r="F7" s="17" t="str">
        <x:v>https://roadshow.sseinfo.com/activityDetails/38704?navId=48</x:v>
      </x:c>
      <x:c r="G7" s="17" t="str">
        <x:v>43条管理层回答</x:v>
      </x:c>
      <x:c r="H7" s="17" t="str">
        <x:v>冻结日前</x:v>
      </x:c>
      <x:c r="I7" s="17" t="str">
        <x:v>TONE</x:v>
      </x:c>
      <x:c r="J7" s="17" t="str">
        <x:v>中高</x:v>
      </x:c>
      <x:c r="K7" s="17" t="str">
        <x:v>词典法不理解反讽与否定范围</x:v>
      </x:c>
    </x:row>
    <x:row r="8" ht="15" hidden="0" customHeight="1">
      <x:c r="A8" s="17" t="str">
        <x:v>SRC-ENF-PRO</x:v>
      </x:c>
      <x:c r="B8" s="17" t="str">
        <x:v>燧原科技</x:v>
      </x:c>
      <x:c r="C8" s="17" t="str">
        <x:v>招股意向书</x:v>
      </x:c>
      <x:c r="D8" s="17" t="str">
        <x:v>首次公开发行股票并在科创板上市招股意向书</x:v>
      </x:c>
      <x:c r="E8" s="17" t="str">
        <x:v>2026-08-25</x:v>
      </x:c>
      <x:c r="F8" s="17" t="str">
        <x:v>https://www.cninfo.com.cn/new/disclosure/stock?stockCode=688801&amp;orgId=9920000029</x:v>
      </x:c>
      <x:c r="G8" s="17" t="str">
        <x:v>54-60,141-267</x:v>
      </x:c>
      <x:c r="H8" s="17" t="str">
        <x:v>冻结日后</x:v>
      </x:c>
      <x:c r="I8" s="17" t="str">
        <x:v>后验验证</x:v>
      </x:c>
      <x:c r="J8" s="17" t="str">
        <x:v>高</x:v>
      </x:c>
      <x:c r="K8" s="17" t="str">
        <x:v>不得倒灌进2026-08-23前特征</x:v>
      </x:c>
    </x:row>
    <x:row r="9" ht="15" hidden="0" customHeight="1">
      <x:c r="A9" s="17" t="str">
        <x:v>SRC-HUA-AR22</x:v>
      </x:c>
      <x:c r="B9" s="17" t="str">
        <x:v>华微电子</x:v>
      </x:c>
      <x:c r="C9" s="17" t="str">
        <x:v>官方年报</x:v>
      </x:c>
      <x:c r="D9" s="17" t="str">
        <x:v>2022年年度报告（更新版）</x:v>
      </x:c>
      <x:c r="E9" s="17" t="str">
        <x:v>2023-06-30</x:v>
      </x:c>
      <x:c r="F9" s="17" t="str">
        <x:v>https://static.cninfo.com.cn/finalpage/2023-06-30/1217164546.PDF</x:v>
      </x:c>
      <x:c r="G9" s="17" t="str">
        <x:v>8-24及财务页</x:v>
      </x:c>
      <x:c r="H9" s="17" t="str">
        <x:v>盲测冻结日前</x:v>
      </x:c>
      <x:c r="I9" s="17" t="str">
        <x:v>盲测特征</x:v>
      </x:c>
      <x:c r="J9" s="17" t="str">
        <x:v>高</x:v>
      </x:c>
      <x:c r="K9" s="17" t="str">
        <x:v>历史披露后被监管结论部分否定</x:v>
      </x:c>
    </x:row>
    <x:row r="10" ht="15" hidden="0" customHeight="1">
      <x:c r="A10" s="17" t="str">
        <x:v>SRC-HUA-AR23</x:v>
      </x:c>
      <x:c r="B10" s="17" t="str">
        <x:v>华微电子</x:v>
      </x:c>
      <x:c r="C10" s="17" t="str">
        <x:v>年报镜像/公告定位</x:v>
      </x:c>
      <x:c r="D10" s="17" t="str">
        <x:v>2023年年度报告</x:v>
      </x:c>
      <x:c r="E10" s="17" t="str">
        <x:v>2024-04-30</x:v>
      </x:c>
      <x:c r="F10" s="17" t="str">
        <x:v>https://data.eastmoney.com/notices/detail/600360/AN202404291631677233.html</x:v>
      </x:c>
      <x:c r="G10" s="17" t="str">
        <x:v>9-27及审计意见</x:v>
      </x:c>
      <x:c r="H10" s="17" t="str">
        <x:v>盲测冻结日后</x:v>
      </x:c>
      <x:c r="I10" s="17" t="str">
        <x:v>公开红旗验证</x:v>
      </x:c>
      <x:c r="J10" s="17" t="str">
        <x:v>中高</x:v>
      </x:c>
      <x:c r="K10" s="17" t="str">
        <x:v>HTML镜像用于定位；审计意见以正式公告为准</x:v>
      </x:c>
    </x:row>
    <x:row r="11" ht="15" hidden="0" customHeight="1">
      <x:c r="A11" s="17" t="str">
        <x:v>SRC-HUA-CSRC</x:v>
      </x:c>
      <x:c r="B11" s="17" t="str">
        <x:v>华微电子</x:v>
      </x:c>
      <x:c r="C11" s="17" t="str">
        <x:v>行政处罚决定</x:v>
      </x:c>
      <x:c r="D11" s="17" t="str">
        <x:v>吉林证监局行政处罚决定书</x:v>
      </x:c>
      <x:c r="E11" s="17" t="str">
        <x:v>2025</x:v>
      </x:c>
      <x:c r="F11" s="17" t="str">
        <x:v>https://www.csrc.gov.cn/jilin/c103788/c7554826/content.shtml</x:v>
      </x:c>
      <x:c r="G11" s="17" t="str">
        <x:v>全文</x:v>
      </x:c>
      <x:c r="H11" s="17" t="str">
        <x:v>事件后</x:v>
      </x:c>
      <x:c r="I11" s="17" t="str">
        <x:v>最终标签</x:v>
      </x:c>
      <x:c r="J11" s="17" t="str">
        <x:v>高</x:v>
      </x:c>
      <x:c r="K11" s="17" t="str">
        <x:v>不得作为预测输入</x:v>
      </x:c>
    </x:row>
    <x:row r="12" ht="15" hidden="0" customHeight="1">
      <x:c r="A12" s="17" t="str">
        <x:v>SRC-HUA-RS22</x:v>
      </x:c>
      <x:c r="B12" s="17" t="str">
        <x:v>华微电子</x:v>
      </x:c>
      <x:c r="C12" s="17" t="str">
        <x:v>上证路演</x:v>
      </x:c>
      <x:c r="D12" s="17" t="str">
        <x:v>2022年度业绩说明会</x:v>
      </x:c>
      <x:c r="E12" s="17" t="str">
        <x:v>2023</x:v>
      </x:c>
      <x:c r="F12" s="17" t="str">
        <x:v>https://roadshow.sseinfo.com/activityDetails/13490</x:v>
      </x:c>
      <x:c r="G12" s="17" t="str">
        <x:v>活动页</x:v>
      </x:c>
      <x:c r="H12" s="17" t="str">
        <x:v>盲测冻结日前</x:v>
      </x:c>
      <x:c r="I12" s="17" t="str">
        <x:v>TONE缺口核验</x:v>
      </x:c>
      <x:c r="J12" s="17" t="str">
        <x:v>高</x:v>
      </x:c>
      <x:c r="K12" s="17" t="str">
        <x:v>页面明确提示联系主办机构获取互动内容</x:v>
      </x:c>
    </x:row>
    <x:row r="13" ht="15" hidden="0" customHeight="1">
      <x:c r="A13" s="17" t="str">
        <x:v>SRC-HUA-REM</x:v>
      </x:c>
      <x:c r="B13" s="17" t="str">
        <x:v>华微电子</x:v>
      </x:c>
      <x:c r="C13" s="17" t="str">
        <x:v>官方公告</x:v>
      </x:c>
      <x:c r="D13" s="17" t="str">
        <x:v>撤销退市风险警示公告</x:v>
      </x:c>
      <x:c r="E13" s="17" t="str">
        <x:v>2026-05-19</x:v>
      </x:c>
      <x:c r="F13" s="17" t="str">
        <x:v>https://static.cninfo.com.cn/finalpage/2026-05-19/1225312619.PDF</x:v>
      </x:c>
      <x:c r="G13" s="17" t="str">
        <x:v>全文</x:v>
      </x:c>
      <x:c r="H13" s="17" t="str">
        <x:v>事件后</x:v>
      </x:c>
      <x:c r="I13" s="17" t="str">
        <x:v>状态更新</x:v>
      </x:c>
      <x:c r="J13" s="17" t="str">
        <x:v>高</x:v>
      </x:c>
      <x:c r="K13" s="17" t="str">
        <x:v>撤销风险警示不否定历史违规事实</x:v>
      </x:c>
    </x:row>
    <x:row r="14" ht="15" hidden="0" customHeight="1">
      <x:c r="A14" s="17" t="str">
        <x:v>SRC-HR-AR25</x:v>
      </x:c>
      <x:c r="B14" s="17" t="str">
        <x:v>恒瑞医药</x:v>
      </x:c>
      <x:c r="C14" s="17" t="str">
        <x:v>官方年报</x:v>
      </x:c>
      <x:c r="D14" s="17" t="str">
        <x:v>2025年年度报告</x:v>
      </x:c>
      <x:c r="E14" s="17" t="str">
        <x:v>2026-03-26</x:v>
      </x:c>
      <x:c r="F14" s="17" t="str">
        <x:v>https://static.cninfo.com.cn/finalpage/2026-03-26/1225032585.PDF</x:v>
      </x:c>
      <x:c r="G14" s="17" t="str">
        <x:v>19-94及财务页</x:v>
      </x:c>
      <x:c r="H14" s="17" t="str">
        <x:v>冻结日前</x:v>
      </x:c>
      <x:c r="I14" s="17" t="str">
        <x:v>叙事+客观</x:v>
      </x:c>
      <x:c r="J14" s="17" t="str">
        <x:v>高</x:v>
      </x:c>
      <x:c r="K14" s="17" t="str">
        <x:v>创新药需使用行业专用词典</x:v>
      </x:c>
    </x:row>
    <x:row r="15" ht="15" hidden="0" customHeight="1">
      <x:c r="A15" s="17" t="str">
        <x:v>SRC-HR-RS25</x:v>
      </x:c>
      <x:c r="B15" s="17" t="str">
        <x:v>恒瑞医药</x:v>
      </x:c>
      <x:c r="C15" s="17" t="str">
        <x:v>上证路演</x:v>
      </x:c>
      <x:c r="D15" s="17" t="str">
        <x:v>2025年年度业绩暨现金分红说明会</x:v>
      </x:c>
      <x:c r="E15" s="17" t="str">
        <x:v>2026-04-07</x:v>
      </x:c>
      <x:c r="F15" s="17" t="str">
        <x:v>https://roadshow.sseinfo.com/activityDetails/38193</x:v>
      </x:c>
      <x:c r="G15" s="17" t="str">
        <x:v>17条管理层回答</x:v>
      </x:c>
      <x:c r="H15" s="17" t="str">
        <x:v>冻结日前</x:v>
      </x:c>
      <x:c r="I15" s="17" t="str">
        <x:v>TONE</x:v>
      </x:c>
      <x:c r="J15" s="17" t="str">
        <x:v>中高</x:v>
      </x:c>
      <x:c r="K15" s="17" t="str">
        <x:v>词典法不能识别复杂临床风险语境</x:v>
      </x:c>
    </x:row>
    <x:row r="16" ht="15" hidden="0" customHeight="1">
      <x:c r="A16" s="17" t="str">
        <x:v>SRC-OBJ-DATA</x:v>
      </x:c>
      <x:c r="B16" s="17" t="str">
        <x:v>四家/同业</x:v>
      </x:c>
      <x:c r="C16" s="17" t="str">
        <x:v>本地审计数据</x:v>
      </x:c>
      <x:c r="D16" s="17" t="str">
        <x:v>R01-R22统一同业数据集</x:v>
      </x:c>
      <x:c r="E16" s="17" t="str">
        <x:v>2026-08-26</x:v>
      </x:c>
      <x:c r="F16" s="17" t="str">
        <x:v>/Users/mao/Documents/kechuang-risk-platform/src/data/industry/r01-r22-unified.json</x:v>
      </x:c>
      <x:c r="G16" s="17" t="str">
        <x:v>94家公司</x:v>
      </x:c>
      <x:c r="H16" s="17" t="str">
        <x:v>当前</x:v>
      </x:c>
      <x:c r="I16" s="17" t="str">
        <x:v>客观基准</x:v>
      </x:c>
      <x:c r="J16" s="17" t="str">
        <x:v>中高</x:v>
      </x:c>
      <x:c r="K16" s="17" t="str">
        <x:v>燧原/华微/恒瑞为试点追加；板块与口径不完全一致</x:v>
      </x:c>
    </x:row>
    <x:row r="17" ht="15" hidden="0" customHeight="1">
      <x:c r="A17" s="17" t="str">
        <x:v>SRC-METHOD-PDQI</x:v>
      </x:c>
      <x:c r="B17" s="17" t="str">
        <x:v>方法</x:v>
      </x:c>
      <x:c r="C17" s="17" t="str">
        <x:v>用户文档</x:v>
      </x:c>
      <x:c r="D17" s="17" t="str">
        <x:v>风险.docx</x:v>
      </x:c>
      <x:c r="E17" s="17"/>
      <x:c r="F17" s="17" t="str">
        <x:v>/Users/mao/Downloads/风险.docx</x:v>
      </x:c>
      <x:c r="G17" s="17" t="str">
        <x:v>1-2</x:v>
      </x:c>
      <x:c r="H17" s="17" t="str">
        <x:v>方法定义</x:v>
      </x:c>
      <x:c r="I17" s="17" t="str">
        <x:v>PDQI</x:v>
      </x:c>
      <x:c r="J17" s="17" t="str">
        <x:v>高</x:v>
      </x:c>
      <x:c r="K17" s="17" t="str">
        <x:v>正文定义，不是本次事实证据</x:v>
      </x:c>
    </x:row>
    <x:row r="18" ht="15" hidden="0" customHeight="1">
      <x:c r="A18" s="17" t="str">
        <x:v>SRC-METHOD-ITAG</x:v>
      </x:c>
      <x:c r="B18" s="17" t="str">
        <x:v>方法</x:v>
      </x:c>
      <x:c r="C18" s="17" t="str">
        <x:v>用户文档</x:v>
      </x:c>
      <x:c r="D18" s="17" t="str">
        <x:v>叙事夸大性指标.docx</x:v>
      </x:c>
      <x:c r="E18" s="17"/>
      <x:c r="F18" s="17" t="str">
        <x:v>/Users/mao/Downloads/叙事夸大性指标.docx</x:v>
      </x:c>
      <x:c r="G18" s="17" t="str">
        <x:v>1-4</x:v>
      </x:c>
      <x:c r="H18" s="17" t="str">
        <x:v>方法定义</x:v>
      </x:c>
      <x:c r="I18" s="17" t="str">
        <x:v>ITAG</x:v>
      </x:c>
      <x:c r="J18" s="17" t="str">
        <x:v>高</x:v>
      </x:c>
      <x:c r="K18" s="17" t="str">
        <x:v>本次缺完整693词词典，使用lite版</x:v>
      </x:c>
    </x:row>
    <x:row r="19" ht="15" hidden="0" customHeight="1">
      <x:c r="A19" s="17" t="str">
        <x:v>SRC-METHOD-TONE</x:v>
      </x:c>
      <x:c r="B19" s="17" t="str">
        <x:v>方法</x:v>
      </x:c>
      <x:c r="C19" s="17" t="str">
        <x:v>用户文档</x:v>
      </x:c>
      <x:c r="D19" s="17" t="str">
        <x:v>管理者语调风险.docx</x:v>
      </x:c>
      <x:c r="E19" s="17"/>
      <x:c r="F19" s="17" t="str">
        <x:v>/Users/mao/Downloads/管理者语调风险.docx</x:v>
      </x:c>
      <x:c r="G19" s="17" t="str">
        <x:v>1-3</x:v>
      </x:c>
      <x:c r="H19" s="17" t="str">
        <x:v>方法定义</x:v>
      </x:c>
      <x:c r="I19" s="17" t="str">
        <x:v>TONE</x:v>
      </x:c>
      <x:c r="J19" s="17" t="str">
        <x:v>高</x:v>
      </x:c>
      <x:c r="K19" s="17" t="str">
        <x:v>本次用词典计数而非句子级LLM</x:v>
      </x:c>
    </x:row>
  </x:sheetData>
  <x:mergeCells>
    <x:mergeCell ref="A1:K2"/>
    <x:mergeCell ref="A3:K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4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0" hidden="0" customWidth="1"/>
    <x:col min="9" max="9" width="18" hidden="0" customWidth="1"/>
    <x:col min="10" max="10" width="48" hidden="0" customWidth="1"/>
  </x:cols>
  <x:sheetData>
    <x:row r="1" ht="34" customHeight="1">
      <x:c r="A1" s="4" t="str">
        <x:v>风险事件与标签验证</x:v>
      </x:c>
      <x:c r="B1" s="4" t="str">
        <x:v>风险事件与标签验证</x:v>
      </x:c>
      <x:c r="C1" s="4" t="str">
        <x:v>风险事件与标签验证</x:v>
      </x:c>
      <x:c r="D1" s="4" t="str">
        <x:v>风险事件与标签验证</x:v>
      </x:c>
      <x:c r="E1" s="4" t="str">
        <x:v>风险事件与标签验证</x:v>
      </x:c>
      <x:c r="F1" s="4" t="str">
        <x:v>风险事件与标签验证</x:v>
      </x:c>
      <x:c r="G1" s="4" t="str">
        <x:v>风险事件与标签验证</x:v>
      </x:c>
      <x:c r="H1" s="4" t="str">
        <x:v>风险事件与标签验证</x:v>
      </x:c>
      <x:c r="I1" s="4" t="str">
        <x:v>风险事件与标签验证</x:v>
      </x:c>
      <x:c r="J1" s="4" t="str">
        <x:v>风险事件与标签验证</x:v>
      </x:c>
    </x:row>
    <x:row r="2" ht="34" customHeight="1">
      <x:c r="A2" s="4" t="str">
        <x:v>风险事件与标签验证</x:v>
      </x:c>
      <x:c r="B2" s="4" t="str">
        <x:v>风险事件与标签验证</x:v>
      </x:c>
      <x:c r="C2" s="4" t="str">
        <x:v>风险事件与标签验证</x:v>
      </x:c>
      <x:c r="D2" s="4" t="str">
        <x:v>风险事件与标签验证</x:v>
      </x:c>
      <x:c r="E2" s="4" t="str">
        <x:v>风险事件与标签验证</x:v>
      </x:c>
      <x:c r="F2" s="4" t="str">
        <x:v>风险事件与标签验证</x:v>
      </x:c>
      <x:c r="G2" s="4" t="str">
        <x:v>风险事件与标签验证</x:v>
      </x:c>
      <x:c r="H2" s="4" t="str">
        <x:v>风险事件与标签验证</x:v>
      </x:c>
      <x:c r="I2" s="4" t="str">
        <x:v>风险事件与标签验证</x:v>
      </x:c>
      <x:c r="J2" s="4" t="str">
        <x:v>风险事件与标签验证</x:v>
      </x:c>
    </x:row>
    <x:row r="3" ht="28" customHeight="1">
      <x:c r="A3" s="7" t="str">
        <x:v>“特征”与“标签”分离：模型只看冻结日前可见信息；事件后监管结论只用于评价模型是否提前识别。</x:v>
      </x:c>
      <x:c r="B3" s="7" t="str">
        <x:v>“特征”与“标签”分离：模型只看冻结日前可见信息；事件后监管结论只用于评价模型是否提前识别。</x:v>
      </x:c>
      <x:c r="C3" s="7" t="str">
        <x:v>“特征”与“标签”分离：模型只看冻结日前可见信息；事件后监管结论只用于评价模型是否提前识别。</x:v>
      </x:c>
      <x:c r="D3" s="7" t="str">
        <x:v>“特征”与“标签”分离：模型只看冻结日前可见信息；事件后监管结论只用于评价模型是否提前识别。</x:v>
      </x:c>
      <x:c r="E3" s="7" t="str">
        <x:v>“特征”与“标签”分离：模型只看冻结日前可见信息；事件后监管结论只用于评价模型是否提前识别。</x:v>
      </x:c>
      <x:c r="F3" s="7" t="str">
        <x:v>“特征”与“标签”分离：模型只看冻结日前可见信息；事件后监管结论只用于评价模型是否提前识别。</x:v>
      </x:c>
      <x:c r="G3" s="7" t="str">
        <x:v>“特征”与“标签”分离：模型只看冻结日前可见信息；事件后监管结论只用于评价模型是否提前识别。</x:v>
      </x:c>
      <x:c r="H3" s="7" t="str">
        <x:v>“特征”与“标签”分离：模型只看冻结日前可见信息；事件后监管结论只用于评价模型是否提前识别。</x:v>
      </x:c>
      <x:c r="I3" s="7" t="str">
        <x:v>“特征”与“标签”分离：模型只看冻结日前可见信息；事件后监管结论只用于评价模型是否提前识别。</x:v>
      </x:c>
      <x:c r="J3" s="7" t="str">
        <x:v>“特征”与“标签”分离：模型只看冻结日前可见信息；事件后监管结论只用于评价模型是否提前识别。</x:v>
      </x:c>
    </x:row>
    <x:row r="4" ht="15" hidden="0" customHeight="1">
      <x:c r="A4" s="13" t="str">
        <x:v>企业</x:v>
      </x:c>
      <x:c r="B4" s="13" t="str">
        <x:v>事件日期</x:v>
      </x:c>
      <x:c r="C4" s="13" t="str">
        <x:v>事件</x:v>
      </x:c>
      <x:c r="D4" s="13" t="str">
        <x:v>性质</x:v>
      </x:c>
      <x:c r="E4" s="13" t="str">
        <x:v>首次公开时间</x:v>
      </x:c>
      <x:c r="F4" s="13" t="str">
        <x:v>进入预测特征</x:v>
      </x:c>
      <x:c r="G4" s="13" t="str">
        <x:v>作为标签</x:v>
      </x:c>
      <x:c r="H4" s="13" t="str">
        <x:v>严重度</x:v>
      </x:c>
      <x:c r="I4" s="13" t="str">
        <x:v>来源ID</x:v>
      </x:c>
      <x:c r="J4" s="13" t="str">
        <x:v>备注</x:v>
      </x:c>
    </x:row>
    <x:row r="5" ht="15" hidden="0" customHeight="1">
      <x:c r="A5" s="17" t="str">
        <x:v>寒武纪</x:v>
      </x:c>
      <x:c r="B5" s="17" t="str">
        <x:v>2025-11/2026H1</x:v>
      </x:c>
      <x:c r="C5" s="17" t="str">
        <x:v>前核心人员劳动争议诉讼请求金额约42.87亿元</x:v>
      </x:c>
      <x:c r="D5" s="17" t="str">
        <x:v>待决诉讼</x:v>
      </x:c>
      <x:c r="E5" s="17" t="str">
        <x:v>公告/半年报</x:v>
      </x:c>
      <x:c r="F5" s="17" t="str">
        <x:v>是（截至当前）</x:v>
      </x:c>
      <x:c r="G5" s="17" t="str">
        <x:v>否</x:v>
      </x:c>
      <x:c r="H5" s="17" t="str">
        <x:v>中高</x:v>
      </x:c>
      <x:c r="I5" s="17" t="str">
        <x:v>SRC-CAM-H126</x:v>
      </x:c>
      <x:c r="J5" s="17" t="str">
        <x:v>请求金额不等于最终赔付责任</x:v>
      </x:c>
    </x:row>
    <x:row r="6" ht="15" hidden="0" customHeight="1">
      <x:c r="A6" s="17" t="str">
        <x:v>寒武纪</x:v>
      </x:c>
      <x:c r="B6" s="17" t="str">
        <x:v>2026-08前</x:v>
      </x:c>
      <x:c r="C6" s="17" t="str">
        <x:v>美国合并筛查清单精确命中1类</x:v>
      </x:c>
      <x:c r="D6" s="17" t="str">
        <x:v>外部约束</x:v>
      </x:c>
      <x:c r="E6" s="17" t="str">
        <x:v>官方清单</x:v>
      </x:c>
      <x:c r="F6" s="17" t="str">
        <x:v>是</x:v>
      </x:c>
      <x:c r="G6" s="17" t="str">
        <x:v>否</x:v>
      </x:c>
      <x:c r="H6" s="17" t="str">
        <x:v>中高</x:v>
      </x:c>
      <x:c r="I6" s="17" t="str">
        <x:v>SRC-OBJ-DATA</x:v>
      </x:c>
      <x:c r="J6" s="17" t="str">
        <x:v>需进一步测算受控物项和供应链比例</x:v>
      </x:c>
    </x:row>
    <x:row r="7" ht="15" hidden="0" customHeight="1">
      <x:c r="A7" s="17" t="str">
        <x:v>燧原科技</x:v>
      </x:c>
      <x:c r="B7" s="17" t="str">
        <x:v>2026-08-25</x:v>
      </x:c>
      <x:c r="C7" s="17" t="str">
        <x:v>招股意向书公开客户集中、持续亏损和负经营现金流</x:v>
      </x:c>
      <x:c r="D7" s="17" t="str">
        <x:v>后验披露</x:v>
      </x:c>
      <x:c r="E7" s="17" t="str">
        <x:v>2026-08-25</x:v>
      </x:c>
      <x:c r="F7" s="17" t="str">
        <x:v>否（IPO前盲测）</x:v>
      </x:c>
      <x:c r="G7" s="17" t="str">
        <x:v>是（验证）</x:v>
      </x:c>
      <x:c r="H7" s="17" t="str">
        <x:v>中高</x:v>
      </x:c>
      <x:c r="I7" s="17" t="str">
        <x:v>SRC-ENF-PRO</x:v>
      </x:c>
      <x:c r="J7" s="17" t="str">
        <x:v>验证叙事与基本面是否一致</x:v>
      </x:c>
    </x:row>
    <x:row r="8" ht="15" hidden="0" customHeight="1">
      <x:c r="A8" s="17" t="str">
        <x:v>华微电子</x:v>
      </x:c>
      <x:c r="B8" s="17" t="str">
        <x:v>2024-04-30</x:v>
      </x:c>
      <x:c r="C8" s="17" t="str">
        <x:v>2023年报被出具非标审计/内控意见</x:v>
      </x:c>
      <x:c r="D8" s="17" t="str">
        <x:v>公开红旗</x:v>
      </x:c>
      <x:c r="E8" s="17" t="str">
        <x:v>2024-04-30</x:v>
      </x:c>
      <x:c r="F8" s="17" t="str">
        <x:v>仅公开红旗窗口</x:v>
      </x:c>
      <x:c r="G8" s="17" t="str">
        <x:v>是</x:v>
      </x:c>
      <x:c r="H8" s="17" t="str">
        <x:v>高</x:v>
      </x:c>
      <x:c r="I8" s="17" t="str">
        <x:v>SRC-HUA-AR23</x:v>
      </x:c>
      <x:c r="J8" s="17" t="str">
        <x:v>盲测窗口截止2024-04-28，不含该信息</x:v>
      </x:c>
    </x:row>
    <x:row r="9" ht="15" hidden="0" customHeight="1">
      <x:c r="A9" s="17" t="str">
        <x:v>华微电子</x:v>
      </x:c>
      <x:c r="B9" s="17" t="str">
        <x:v>2024-05-16</x:v>
      </x:c>
      <x:c r="C9" s="17" t="str">
        <x:v>收到证监会立案告知</x:v>
      </x:c>
      <x:c r="D9" s="17" t="str">
        <x:v>首次重大事件</x:v>
      </x:c>
      <x:c r="E9" s="17" t="str">
        <x:v>2024-05-16</x:v>
      </x:c>
      <x:c r="F9" s="17" t="str">
        <x:v>否</x:v>
      </x:c>
      <x:c r="G9" s="17" t="str">
        <x:v>是</x:v>
      </x:c>
      <x:c r="H9" s="17" t="str">
        <x:v>高</x:v>
      </x:c>
      <x:c r="I9" s="17" t="str">
        <x:v>SRC-HUA-CSRC</x:v>
      </x:c>
      <x:c r="J9" s="17" t="str">
        <x:v>公开红旗窗口截止2024-05-15</x:v>
      </x:c>
    </x:row>
    <x:row r="10" ht="15" hidden="0" customHeight="1">
      <x:c r="A10" s="17" t="str">
        <x:v>华微电子</x:v>
      </x:c>
      <x:c r="B10" s="17" t="str">
        <x:v>2025</x:v>
      </x:c>
      <x:c r="C10" s="17" t="str">
        <x:v>监管认定2015-2023年年报重大遗漏、资金占用和问询回复虚假记载</x:v>
      </x:c>
      <x:c r="D10" s="17" t="str">
        <x:v>行政处罚</x:v>
      </x:c>
      <x:c r="E10" s="17" t="str">
        <x:v>2025</x:v>
      </x:c>
      <x:c r="F10" s="17" t="str">
        <x:v>否</x:v>
      </x:c>
      <x:c r="G10" s="17" t="str">
        <x:v>是（最终确认）</x:v>
      </x:c>
      <x:c r="H10" s="17" t="str">
        <x:v>极高</x:v>
      </x:c>
      <x:c r="I10" s="17" t="str">
        <x:v>SRC-HUA-CSRC</x:v>
      </x:c>
      <x:c r="J10" s="17" t="str">
        <x:v>未偿还占用余额约14.91亿元（截至2024-10-15）</x:v>
      </x:c>
    </x:row>
    <x:row r="11" ht="15" hidden="0" customHeight="1">
      <x:c r="A11" s="17" t="str">
        <x:v>华微电子</x:v>
      </x:c>
      <x:c r="B11" s="17" t="str">
        <x:v>2026-05-20</x:v>
      </x:c>
      <x:c r="C11" s="17" t="str">
        <x:v>撤销退市风险警示</x:v>
      </x:c>
      <x:c r="D11" s="17" t="str">
        <x:v>状态更新</x:v>
      </x:c>
      <x:c r="E11" s="17" t="str">
        <x:v>2026-05-19公告</x:v>
      </x:c>
      <x:c r="F11" s="17" t="str">
        <x:v>否</x:v>
      </x:c>
      <x:c r="G11" s="17" t="str">
        <x:v>否</x:v>
      </x:c>
      <x:c r="H11" s="17" t="str">
        <x:v>中</x:v>
      </x:c>
      <x:c r="I11" s="17" t="str">
        <x:v>SRC-HUA-REM</x:v>
      </x:c>
      <x:c r="J11" s="17" t="str">
        <x:v>不否定历史违规标签</x:v>
      </x:c>
    </x:row>
    <x:row r="12" ht="15" hidden="0" customHeight="1">
      <x:c r="A12" s="17" t="str">
        <x:v>恒瑞医药</x:v>
      </x:c>
      <x:c r="B12" s="17" t="str">
        <x:v>2025窗口</x:v>
      </x:c>
      <x:c r="C12" s="17" t="str">
        <x:v>年报未披露重大诉讼或重大处罚</x:v>
      </x:c>
      <x:c r="D12" s="17" t="str">
        <x:v>对照窗口</x:v>
      </x:c>
      <x:c r="E12" s="17" t="str">
        <x:v>2026-03-26</x:v>
      </x:c>
      <x:c r="F12" s="17" t="str">
        <x:v>是</x:v>
      </x:c>
      <x:c r="G12" s="17" t="str">
        <x:v>无重大事件标签</x:v>
      </x:c>
      <x:c r="H12" s="17" t="str">
        <x:v>低</x:v>
      </x:c>
      <x:c r="I12" s="17" t="str">
        <x:v>SRC-HR-AR25</x:v>
      </x:c>
      <x:c r="J12" s="17" t="str">
        <x:v>不等于公司无任何经营或研发风险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18" hidden="0" customWidth="1"/>
    <x:col min="4" max="4" width="32" hidden="0" customWidth="1"/>
    <x:col min="5" max="5" width="10" hidden="0" customWidth="1"/>
    <x:col min="6" max="6" width="34" hidden="0" customWidth="1"/>
    <x:col min="7" max="7" width="32" hidden="0" customWidth="1"/>
    <x:col min="8" max="8" width="18" hidden="0" customWidth="1"/>
  </x:cols>
  <x:sheetData>
    <x:row r="1" ht="34" customHeight="1">
      <x:c r="A1" s="4" t="str">
        <x:v>数据缺口与补采优先级</x:v>
      </x:c>
      <x:c r="B1" s="4" t="str">
        <x:v>数据缺口与补采优先级</x:v>
      </x:c>
      <x:c r="C1" s="4" t="str">
        <x:v>数据缺口与补采优先级</x:v>
      </x:c>
      <x:c r="D1" s="4" t="str">
        <x:v>数据缺口与补采优先级</x:v>
      </x:c>
      <x:c r="E1" s="4" t="str">
        <x:v>数据缺口与补采优先级</x:v>
      </x:c>
      <x:c r="F1" s="4" t="str">
        <x:v>数据缺口与补采优先级</x:v>
      </x:c>
      <x:c r="G1" s="4" t="str">
        <x:v>数据缺口与补采优先级</x:v>
      </x:c>
      <x:c r="H1" s="4" t="str">
        <x:v>数据缺口与补采优先级</x:v>
      </x:c>
    </x:row>
    <x:row r="2" ht="34" customHeight="1">
      <x:c r="A2" s="4" t="str">
        <x:v>数据缺口与补采优先级</x:v>
      </x:c>
      <x:c r="B2" s="4" t="str">
        <x:v>数据缺口与补采优先级</x:v>
      </x:c>
      <x:c r="C2" s="4" t="str">
        <x:v>数据缺口与补采优先级</x:v>
      </x:c>
      <x:c r="D2" s="4" t="str">
        <x:v>数据缺口与补采优先级</x:v>
      </x:c>
      <x:c r="E2" s="4" t="str">
        <x:v>数据缺口与补采优先级</x:v>
      </x:c>
      <x:c r="F2" s="4" t="str">
        <x:v>数据缺口与补采优先级</x:v>
      </x:c>
      <x:c r="G2" s="4" t="str">
        <x:v>数据缺口与补采优先级</x:v>
      </x:c>
      <x:c r="H2" s="4" t="str">
        <x:v>数据缺口与补采优先级</x:v>
      </x:c>
    </x:row>
    <x:row r="3" ht="28" customHeight="1">
      <x:c r="A3" s="7" t="str">
        <x:v>缺失值不按零处理。优先补会改变风险等级、可显著提高覆盖率或能校准叙事词典的项目。</x:v>
      </x:c>
      <x:c r="B3" s="7" t="str">
        <x:v>缺失值不按零处理。优先补会改变风险等级、可显著提高覆盖率或能校准叙事词典的项目。</x:v>
      </x:c>
      <x:c r="C3" s="7" t="str">
        <x:v>缺失值不按零处理。优先补会改变风险等级、可显著提高覆盖率或能校准叙事词典的项目。</x:v>
      </x:c>
      <x:c r="D3" s="7" t="str">
        <x:v>缺失值不按零处理。优先补会改变风险等级、可显著提高覆盖率或能校准叙事词典的项目。</x:v>
      </x:c>
      <x:c r="E3" s="7" t="str">
        <x:v>缺失值不按零处理。优先补会改变风险等级、可显著提高覆盖率或能校准叙事词典的项目。</x:v>
      </x:c>
      <x:c r="F3" s="7" t="str">
        <x:v>缺失值不按零处理。优先补会改变风险等级、可显著提高覆盖率或能校准叙事词典的项目。</x:v>
      </x:c>
      <x:c r="G3" s="7" t="str">
        <x:v>缺失值不按零处理。优先补会改变风险等级、可显著提高覆盖率或能校准叙事词典的项目。</x:v>
      </x:c>
      <x:c r="H3" s="7" t="str">
        <x:v>缺失值不按零处理。优先补会改变风险等级、可显著提高覆盖率或能校准叙事词典的项目。</x:v>
      </x:c>
    </x:row>
    <x:row r="4" ht="15" hidden="0" customHeight="1">
      <x:c r="A4" s="13" t="str">
        <x:v>企业</x:v>
      </x:c>
      <x:c r="B4" s="13" t="str">
        <x:v>缺口</x:v>
      </x:c>
      <x:c r="C4" s="13" t="str">
        <x:v>影响指标</x:v>
      </x:c>
      <x:c r="D4" s="13" t="str">
        <x:v>当前处理</x:v>
      </x:c>
      <x:c r="E4" s="13" t="str">
        <x:v>优先级</x:v>
      </x:c>
      <x:c r="F4" s="13" t="str">
        <x:v>建议来源</x:v>
      </x:c>
      <x:c r="G4" s="13" t="str">
        <x:v>预计影响</x:v>
      </x:c>
      <x:c r="H4" s="13" t="str">
        <x:v>负责人/状态</x:v>
      </x:c>
    </x:row>
    <x:row r="5" ht="15" hidden="0" customHeight="1">
      <x:c r="A5" s="17" t="str">
        <x:v>寒武纪</x:v>
      </x:c>
      <x:c r="B5" s="17" t="str">
        <x:v>诉讼胜败概率及潜在责任区间</x:v>
      </x:c>
      <x:c r="C5" s="17" t="str">
        <x:v>R12</x:v>
      </x:c>
      <x:c r="D5" s="17" t="str">
        <x:v>只使用事件/请求金额代理</x:v>
      </x:c>
      <x:c r="E5" s="17" t="str">
        <x:v>P0</x:v>
      </x:c>
      <x:c r="F5" s="17" t="str">
        <x:v>法院文书/公司公告</x:v>
      </x:c>
      <x:c r="G5" s="17" t="str">
        <x:v>可能改变合规维度</x:v>
      </x:c>
      <x:c r="H5" s="17" t="str">
        <x:v>待跟踪</x:v>
      </x:c>
    </x:row>
    <x:row r="6" ht="15" hidden="0" customHeight="1">
      <x:c r="A6" s="17" t="str">
        <x:v>寒武纪</x:v>
      </x:c>
      <x:c r="B6" s="17" t="str">
        <x:v>出口管制受影响BOM/ECCN比例</x:v>
      </x:c>
      <x:c r="C6" s="17" t="str">
        <x:v>R19</x:v>
      </x:c>
      <x:c r="D6" s="17" t="str">
        <x:v>仅清单命中</x:v>
      </x:c>
      <x:c r="E6" s="17" t="str">
        <x:v>P0</x:v>
      </x:c>
      <x:c r="F6" s="17" t="str">
        <x:v>BOM、供应商访谈、官方许可</x:v>
      </x:c>
      <x:c r="G6" s="17" t="str">
        <x:v>可能改变外部风险</x:v>
      </x:c>
      <x:c r="H6" s="17" t="str">
        <x:v>待补</x:v>
      </x:c>
    </x:row>
    <x:row r="7" ht="15" hidden="0" customHeight="1">
      <x:c r="A7" s="17" t="str">
        <x:v>燧原科技</x:v>
      </x:c>
      <x:c r="B7" s="17" t="str">
        <x:v>2026-08-23前第三方新闻与公司自述完整语料</x:v>
      </x:c>
      <x:c r="C7" s="17" t="str">
        <x:v>自身-第三方偏差</x:v>
      </x:c>
      <x:c r="D7" s="17" t="str">
        <x:v>本轮只做后验验证</x:v>
      </x:c>
      <x:c r="E7" s="17" t="str">
        <x:v>P0</x:v>
      </x:c>
      <x:c r="F7" s="17" t="str">
        <x:v>官网新闻、媒体、招股书前历史快照</x:v>
      </x:c>
      <x:c r="G7" s="17" t="str">
        <x:v>决定IPO前预测是否成立</x:v>
      </x:c>
      <x:c r="H7" s="17" t="str">
        <x:v>待抓取</x:v>
      </x:c>
    </x:row>
    <x:row r="8" ht="15" hidden="0" customHeight="1">
      <x:c r="A8" s="17" t="str">
        <x:v>燧原科技</x:v>
      </x:c>
      <x:c r="B8" s="17" t="str">
        <x:v>年度业绩说明会管理层回答</x:v>
      </x:c>
      <x:c r="C8" s="17" t="str">
        <x:v>TONE</x:v>
      </x:c>
      <x:c r="D8" s="17" t="str">
        <x:v>记为N/A</x:v>
      </x:c>
      <x:c r="E8" s="17" t="str">
        <x:v>P1</x:v>
      </x:c>
      <x:c r="F8" s="17" t="str">
        <x:v>上市后路演/访谈逐字稿</x:v>
      </x:c>
      <x:c r="G8" s="17" t="str">
        <x:v>补语调风险</x:v>
      </x:c>
      <x:c r="H8" s="17" t="str">
        <x:v>结构性缺失</x:v>
      </x:c>
    </x:row>
    <x:row r="9" ht="15" hidden="0" customHeight="1">
      <x:c r="A9" s="17" t="str">
        <x:v>华微电子</x:v>
      </x:c>
      <x:c r="B9" s="17" t="str">
        <x:v>2022年度说明会互动全文</x:v>
      </x:c>
      <x:c r="C9" s="17" t="str">
        <x:v>TONE</x:v>
      </x:c>
      <x:c r="D9" s="17" t="str">
        <x:v>活动页核验后记为N/A</x:v>
      </x:c>
      <x:c r="E9" s="17" t="str">
        <x:v>P0</x:v>
      </x:c>
      <x:c r="F9" s="17" t="str">
        <x:v>联系上证路演/公司IR</x:v>
      </x:c>
      <x:c r="G9" s="17" t="str">
        <x:v>可能提高盲测识别率</x:v>
      </x:c>
      <x:c r="H9" s="17" t="str">
        <x:v>待申请</x:v>
      </x:c>
    </x:row>
    <x:row r="10" ht="15" hidden="0" customHeight="1">
      <x:c r="A10" s="17" t="str">
        <x:v>华微电子</x:v>
      </x:c>
      <x:c r="B10" s="17" t="str">
        <x:v>功率半导体IDM同业专门基准</x:v>
      </x:c>
      <x:c r="C10" s="17" t="str">
        <x:v>R05-R22</x:v>
      </x:c>
      <x:c r="D10" s="17" t="str">
        <x:v>暂并入芯片设计组</x:v>
      </x:c>
      <x:c r="E10" s="17" t="str">
        <x:v>P0</x:v>
      </x:c>
      <x:c r="F10" s="17" t="str">
        <x:v>申万功率半导体/分立器件样本</x:v>
      </x:c>
      <x:c r="G10" s="17" t="str">
        <x:v>会改变百分位与总分</x:v>
      </x:c>
      <x:c r="H10" s="17" t="str">
        <x:v>待建组</x:v>
      </x:c>
    </x:row>
    <x:row r="11" ht="15" hidden="0" customHeight="1">
      <x:c r="A11" s="17" t="str">
        <x:v>恒瑞医药</x:v>
      </x:c>
      <x:c r="B11" s="17" t="str">
        <x:v>临床失败/终止项目事件库</x:v>
      </x:c>
      <x:c r="C11" s="17" t="str">
        <x:v>R08/R09</x:v>
      </x:c>
      <x:c r="D11" s="17" t="str">
        <x:v>本轮缺失不补零</x:v>
      </x:c>
      <x:c r="E11" s="17" t="str">
        <x:v>P0</x:v>
      </x:c>
      <x:c r="F11" s="17" t="str">
        <x:v>CDE/ClinicalTrials/公司公告</x:v>
      </x:c>
      <x:c r="G11" s="17" t="str">
        <x:v>可能抬升技术风险</x:v>
      </x:c>
      <x:c r="H11" s="17" t="str">
        <x:v>待补</x:v>
      </x:c>
    </x:row>
    <x:row r="12" ht="15" hidden="0" customHeight="1">
      <x:c r="A12" s="17" t="str">
        <x:v>恒瑞医药</x:v>
      </x:c>
      <x:c r="B12" s="17" t="str">
        <x:v>创新药专用完整词典与同业年标准化</x:v>
      </x:c>
      <x:c r="C12" s="17" t="str">
        <x:v>ITAG</x:v>
      </x:c>
      <x:c r="D12" s="17" t="str">
        <x:v>使用通用lite词典</x:v>
      </x:c>
      <x:c r="E12" s="17" t="str">
        <x:v>P1</x:v>
      </x:c>
      <x:c r="F12" s="17" t="str">
        <x:v>医药语料库+专家标注</x:v>
      </x:c>
      <x:c r="G12" s="17" t="str">
        <x:v>提高跨行业科学性</x:v>
      </x:c>
      <x:c r="H12" s="17" t="str">
        <x:v>待建</x:v>
      </x:c>
    </x:row>
    <x:row r="13" ht="15" hidden="0" customHeight="1">
      <x:c r="A13" s="17" t="str">
        <x:v>四家</x:v>
      </x:c>
      <x:c r="B13" s="17" t="str">
        <x:v>人工标注金标准与时间外验证</x:v>
      </x:c>
      <x:c r="C13" s="17" t="str">
        <x:v>叙事三指标</x:v>
      </x:c>
      <x:c r="D13" s="17" t="str">
        <x:v>本轮为可行性评估</x:v>
      </x:c>
      <x:c r="E13" s="17" t="str">
        <x:v>P0</x:v>
      </x:c>
      <x:c r="F13" s="17" t="str">
        <x:v>双人盲标+滚动回测</x:v>
      </x:c>
      <x:c r="G13" s="17" t="str">
        <x:v>决定能否正式当风险指标</x:v>
      </x:c>
      <x:c r="H13" s="17" t="str">
        <x:v>下一阶段</x:v>
      </x:c>
    </x:row>
  </x:sheetData>
  <x:mergeCells>
    <x:mergeCell ref="A1:H2"/>
    <x:mergeCell ref="A3:H3"/>
  </x:mergeCells>
  <x:conditionalFormatting sqref="E5:E13">
    <x:cfRule type="containsText" dxfId="1" priority="1" operator="containsText" text="P0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0" hidden="0" customWidth="1"/>
    <x:col min="3" max="3" width="28" hidden="0" customWidth="1"/>
    <x:col min="4" max="4" width="26" hidden="0" customWidth="1"/>
    <x:col min="5" max="5" width="36" hidden="0" customWidth="1"/>
    <x:col min="6" max="6" width="16" hidden="0" customWidth="1"/>
    <x:col min="7" max="7" width="48" hidden="0" customWidth="1"/>
    <x:col min="8" max="8" width="42" hidden="0" customWidth="1"/>
  </x:cols>
  <x:sheetData>
    <x:row r="1" ht="34" customHeight="1">
      <x:c r="A1" s="4" t="str">
        <x:v>方法、参数与科学性边界</x:v>
      </x:c>
      <x:c r="B1" s="4" t="str">
        <x:v>方法、参数与科学性边界</x:v>
      </x:c>
      <x:c r="C1" s="4" t="str">
        <x:v>方法、参数与科学性边界</x:v>
      </x:c>
      <x:c r="D1" s="4" t="str">
        <x:v>方法、参数与科学性边界</x:v>
      </x:c>
      <x:c r="E1" s="4" t="str">
        <x:v>方法、参数与科学性边界</x:v>
      </x:c>
      <x:c r="F1" s="4" t="str">
        <x:v>方法、参数与科学性边界</x:v>
      </x:c>
      <x:c r="G1" s="4" t="str">
        <x:v>方法、参数与科学性边界</x:v>
      </x:c>
      <x:c r="H1" s="4" t="str">
        <x:v>方法、参数与科学性边界</x:v>
      </x:c>
    </x:row>
    <x:row r="2" ht="34" customHeight="1">
      <x:c r="A2" s="4" t="str">
        <x:v>方法、参数与科学性边界</x:v>
      </x:c>
      <x:c r="B2" s="4" t="str">
        <x:v>方法、参数与科学性边界</x:v>
      </x:c>
      <x:c r="C2" s="4" t="str">
        <x:v>方法、参数与科学性边界</x:v>
      </x:c>
      <x:c r="D2" s="4" t="str">
        <x:v>方法、参数与科学性边界</x:v>
      </x:c>
      <x:c r="E2" s="4" t="str">
        <x:v>方法、参数与科学性边界</x:v>
      </x:c>
      <x:c r="F2" s="4" t="str">
        <x:v>方法、参数与科学性边界</x:v>
      </x:c>
      <x:c r="G2" s="4" t="str">
        <x:v>方法、参数与科学性边界</x:v>
      </x:c>
      <x:c r="H2" s="4" t="str">
        <x:v>方法、参数与科学性边界</x:v>
      </x:c>
    </x:row>
    <x:row r="3" ht="28" customHeight="1">
      <x:c r="A3" s="7" t="str">
        <x:v>本工作簿把客观风险基准与叙事风险增强层分开呈现。联合等级是试验性决策规则，不把叙事指标直接写回上一版正式客观分。</x:v>
      </x:c>
      <x:c r="B3" s="7" t="str">
        <x:v>本工作簿把客观风险基准与叙事风险增强层分开呈现。联合等级是试验性决策规则，不把叙事指标直接写回上一版正式客观分。</x:v>
      </x:c>
      <x:c r="C3" s="7" t="str">
        <x:v>本工作簿把客观风险基准与叙事风险增强层分开呈现。联合等级是试验性决策规则，不把叙事指标直接写回上一版正式客观分。</x:v>
      </x:c>
      <x:c r="D3" s="7" t="str">
        <x:v>本工作簿把客观风险基准与叙事风险增强层分开呈现。联合等级是试验性决策规则，不把叙事指标直接写回上一版正式客观分。</x:v>
      </x:c>
      <x:c r="E3" s="7" t="str">
        <x:v>本工作簿把客观风险基准与叙事风险增强层分开呈现。联合等级是试验性决策规则，不把叙事指标直接写回上一版正式客观分。</x:v>
      </x:c>
      <x:c r="F3" s="7" t="str">
        <x:v>本工作簿把客观风险基准与叙事风险增强层分开呈现。联合等级是试验性决策规则，不把叙事指标直接写回上一版正式客观分。</x:v>
      </x:c>
      <x:c r="G3" s="7" t="str">
        <x:v>本工作簿把客观风险基准与叙事风险增强层分开呈现。联合等级是试验性决策规则，不把叙事指标直接写回上一版正式客观分。</x:v>
      </x:c>
      <x:c r="H3" s="7" t="str">
        <x:v>本工作簿把客观风险基准与叙事风险增强层分开呈现。联合等级是试验性决策规则，不把叙事指标直接写回上一版正式客观分。</x:v>
      </x:c>
    </x:row>
    <x:row r="4" ht="15" hidden="0" customHeight="1">
      <x:c r="A4" s="13" t="str">
        <x:v>模块</x:v>
      </x:c>
      <x:c r="B4" s="13" t="str">
        <x:v>公式/规则</x:v>
      </x:c>
      <x:c r="C4" s="13" t="str">
        <x:v>输入</x:v>
      </x:c>
      <x:c r="D4" s="13" t="str">
        <x:v>输出方向</x:v>
      </x:c>
      <x:c r="E4" s="13" t="str">
        <x:v>当前实现</x:v>
      </x:c>
      <x:c r="F4" s="13" t="str">
        <x:v>科学性状态</x:v>
      </x:c>
      <x:c r="G4" s="13" t="str">
        <x:v>主要限制</x:v>
      </x:c>
      <x:c r="H4" s="13" t="str">
        <x:v>改进路径</x:v>
      </x:c>
    </x:row>
    <x:row r="5" ht="15" hidden="0" customHeight="1">
      <x:c r="A5" s="17" t="str">
        <x:v>PDQI</x:v>
      </x:c>
      <x:c r="B5" s="17" t="str">
        <x:v>1/4×[IS归一化+RDD+(1-RCA)+DSR]</x:v>
      </x:c>
      <x:c r="C5" s="17" t="str">
        <x:v>年报MD&amp;A+风险章节</x:v>
      </x:c>
      <x:c r="D5" s="17" t="str">
        <x:v>高=披露质量高/风险低</x:v>
      </x:c>
      <x:c r="E5" s="17" t="str">
        <x:v>IS按[0.5,1.0]截断归一</x:v>
      </x:c>
      <x:c r="F5" s="17" t="str">
        <x:v>可作增强指标</x:v>
      </x:c>
      <x:c r="G5" s="17" t="str">
        <x:v>中英文分词与页表格会影响计数</x:v>
      </x:c>
      <x:c r="H5" s="17" t="str">
        <x:v>人工抽样校验+同业年标准化</x:v>
      </x:c>
    </x:row>
    <x:row r="6" ht="15" hidden="0" customHeight="1">
      <x:c r="A6" s="17" t="str">
        <x:v>ITAG-lite</x:v>
      </x:c>
      <x:c r="B6" s="17" t="str">
        <x:v>LN(1+Talk)-LN(1+Patent)</x:v>
      </x:c>
      <x:c r="C6" s="17" t="str">
        <x:v>创新词密度+专利代理</x:v>
      </x:c>
      <x:c r="D6" s="17" t="str">
        <x:v>正值=多说少做风险</x:v>
      </x:c>
      <x:c r="E6" s="17" t="str">
        <x:v>通用40词左右词典+累计授权专利</x:v>
      </x:c>
      <x:c r="F6" s="17" t="str">
        <x:v>探索性</x:v>
      </x:c>
      <x:c r="G6" s="17" t="str">
        <x:v>非完整693词词典；专利口径非发明申请</x:v>
      </x:c>
      <x:c r="H6" s="17" t="str">
        <x:v>获取完整词典并做行业-年度Z分数</x:v>
      </x:c>
    </x:row>
    <x:row r="7" ht="15" hidden="0" customHeight="1">
      <x:c r="A7" s="17" t="str">
        <x:v>TONE</x:v>
      </x:c>
      <x:c r="B7" s="17" t="str">
        <x:v>(POS-NEG)/(POS+NEG)</x:v>
      </x:c>
      <x:c r="C7" s="17" t="str">
        <x:v>业绩说明会管理层回答</x:v>
      </x:c>
      <x:c r="D7" s="17" t="str">
        <x:v>低于0高风险；0-0.4中；≥0.4低</x:v>
      </x:c>
      <x:c r="E7" s="17" t="str">
        <x:v>词典计数，剔除投资者问题</x:v>
      </x:c>
      <x:c r="F7" s="17" t="str">
        <x:v>探索性</x:v>
      </x:c>
      <x:c r="G7" s="17" t="str">
        <x:v>否定、条件句、反讽语境未识别</x:v>
      </x:c>
      <x:c r="H7" s="17" t="str">
        <x:v>句子级模型+人工标签校准</x:v>
      </x:c>
    </x:row>
    <x:row r="8" ht="15" hidden="0" customHeight="1">
      <x:c r="A8" s="17" t="str">
        <x:v>客观风险</x:v>
      </x:c>
      <x:c r="B8" s="17" t="str">
        <x:v>同业百分位风险分→维度内CRITIC→维度间CRITIC</x:v>
      </x:c>
      <x:c r="C8" s="17" t="str">
        <x:v>R05-R22</x:v>
      </x:c>
      <x:c r="D8" s="17" t="str">
        <x:v>高=风险高</x:v>
      </x:c>
      <x:c r="E8" s="17" t="str">
        <x:v>IRAWC-CRITIC-2026.08-v2</x:v>
      </x:c>
      <x:c r="F8" s="17" t="str">
        <x:v>沿用上一版</x:v>
      </x:c>
      <x:c r="G8" s="17" t="str">
        <x:v>不是官方监管评级；样本行业不完全一致</x:v>
      </x:c>
      <x:c r="H8" s="17" t="str">
        <x:v>扩展功率半导体/主板同业组</x:v>
      </x:c>
    </x:row>
    <x:row r="9" ht="15" hidden="0" customHeight="1">
      <x:c r="A9" s="17" t="str">
        <x:v>行业锚</x:v>
      </x:c>
      <x:c r="B9" s="17" t="str">
        <x:v>100×(0.5×0.5+0.5×风险百分位)</x:v>
      </x:c>
      <x:c r="C9" s="17" t="str">
        <x:v>固定行业锚0.5</x:v>
      </x:c>
      <x:c r="D9" s="17" t="str">
        <x:v>高=风险高</x:v>
      </x:c>
      <x:c r="E9" s="17" t="str">
        <x:v>与上一版一致</x:v>
      </x:c>
      <x:c r="F9" s="17" t="str">
        <x:v>工程化</x:v>
      </x:c>
      <x:c r="G9" s="17" t="str">
        <x:v>未使用历史分位Ask</x:v>
      </x:c>
      <x:c r="H9" s="17" t="str">
        <x:v>累积至少3期历史后替换固定锚</x:v>
      </x:c>
    </x:row>
    <x:row r="10" ht="15" hidden="0" customHeight="1">
      <x:c r="A10" s="17" t="str">
        <x:v>缺失值</x:v>
      </x:c>
      <x:c r="B10" s="17" t="str">
        <x:v>不补零；在可用指标内重归一</x:v>
      </x:c>
      <x:c r="C10" s="17" t="str">
        <x:v>所有模块</x:v>
      </x:c>
      <x:c r="D10" s="17" t="str">
        <x:v>避免把未知当安全</x:v>
      </x:c>
      <x:c r="E10" s="17" t="str">
        <x:v>已执行</x:v>
      </x:c>
      <x:c r="F10" s="17" t="str">
        <x:v>必要</x:v>
      </x:c>
      <x:c r="G10" s="17" t="str">
        <x:v>覆盖低时总分不稳定</x:v>
      </x:c>
      <x:c r="H10" s="17" t="str">
        <x:v>披露覆盖率并做敏感性分析</x:v>
      </x:c>
    </x:row>
    <x:row r="11" ht="15" hidden="0" customHeight="1">
      <x:c r="A11" s="17" t="str">
        <x:v>联合等级</x:v>
      </x:c>
      <x:c r="B11" s="17" t="str">
        <x:v>≥60高；≥45且财务/PDQI风险≥60中高；≥45中；否则中低</x:v>
      </x:c>
      <x:c r="C11" s="17" t="str">
        <x:v>客观分+PDQI+财务维度</x:v>
      </x:c>
      <x:c r="D11" s="17" t="str">
        <x:v>高=优先核查</x:v>
      </x:c>
      <x:c r="E11" s="17" t="str">
        <x:v>仅用于本轮排序</x:v>
      </x:c>
      <x:c r="F11" s="17" t="str">
        <x:v>试验性</x:v>
      </x:c>
      <x:c r="G11" s="17" t="str">
        <x:v>阈值未经大样本ROC校准</x:v>
      </x:c>
      <x:c r="H11" s="17" t="str">
        <x:v>扩大样本并冻结阈值做时间外验证</x:v>
      </x:c>
    </x:row>
    <x:row r="12" ht="15" hidden="0" customHeight="1">
      <x:c r="A12" s="17" t="str">
        <x:v>防泄漏</x:v>
      </x:c>
      <x:c r="B12" s="17" t="str">
        <x:v>冻结日前特征与事件后标签严格分表</x:v>
      </x:c>
      <x:c r="C12" s="17" t="str">
        <x:v>时点+来源日期</x:v>
      </x:c>
      <x:c r="D12" s="17" t="str">
        <x:v>提高回测可信度</x:v>
      </x:c>
      <x:c r="E12" s="17" t="str">
        <x:v>华微双窗口、燧原后验隔离</x:v>
      </x:c>
      <x:c r="F12" s="17" t="str">
        <x:v>必要</x:v>
      </x:c>
      <x:c r="G12" s="17" t="str">
        <x:v>网页发布时间与盘后披露仍需精确到时分</x:v>
      </x:c>
      <x:c r="H12" s="17" t="str">
        <x:v>保存抓取时间戳与网页快照</x:v>
      </x:c>
    </x:row>
  </x:sheetData>
  <x:mergeCells>
    <x:mergeCell ref="A1:H2"/>
    <x:mergeCell ref="A3:H3"/>
  </x:mergeCells>
  <x:pageMargins left="0.7" right="0.7" top="0.75" bottom="0.75" header="0.3" footer="0.3"/>
</x:worksheet>
</file>