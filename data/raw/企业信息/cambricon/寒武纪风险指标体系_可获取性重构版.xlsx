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1dbcafbe7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d78278ab1ed4648"/>
    <x:sheet xmlns:r="http://schemas.openxmlformats.org/officeDocument/2006/relationships" name="指标体系_调整后" sheetId="2" r:id="Rc06db7367d3e4dcc"/>
    <x:sheet xmlns:r="http://schemas.openxmlformats.org/officeDocument/2006/relationships" name="寒武纪参数样本" sheetId="3" r:id="Rd34bb3f185ba433a"/>
    <x:sheet xmlns:r="http://schemas.openxmlformats.org/officeDocument/2006/relationships" name="指标变更映射" sheetId="4" r:id="R7fe7488f3a8c451d"/>
    <x:sheet xmlns:r="http://schemas.openxmlformats.org/officeDocument/2006/relationships" name="评分规则" sheetId="5" r:id="Rdfacfe2572de4fb1"/>
    <x:sheet xmlns:r="http://schemas.openxmlformats.org/officeDocument/2006/relationships" name="来源与证据" sheetId="6" r:id="R472b89bc543348f6"/>
    <x:sheet xmlns:r="http://schemas.openxmlformats.org/officeDocument/2006/relationships" name="加分项_调整后" sheetId="7" r:id="Rfe1bdcec62364506"/>
  </x:sheets>
</x:workbook>
</file>

<file path=xl/comments1.xml><?xml version="1.0" encoding="utf-8"?>
<x:comments xmlns:x="http://schemas.openxmlformats.org/spreadsheetml/2006/main">
  <x:authors>
    <x:author>tc={29BB5A95-74CD-BE84-EF05-9297CF0A258F}</x:author>
    <x:author>tc={5EFA32A7-814E-0994-2628-CEB6FC653FFA}</x:author>
    <x:author>tc={76409743-24E4-D95E-EE76-28D51AED8C95}</x:author>
    <x:author>tc={6D3864A6-85F8-67F0-B1FD-C5BE22FF9A91}</x:author>
    <x:author>tc={D59B27AE-E84B-B268-6E5F-EBB7799231EE}</x:author>
    <x:author>tc={1884F249-6F5B-140F-0851-45A1E40910ED}</x:author>
    <x:author>tc={539EA744-4BC6-86FE-49CB-BC44F78086BF}</x:author>
    <x:author>tc={131766D1-1FE4-CE80-377E-908E0909BDEA}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寒武纪2025年年度报告（S1）；完整URL见“来源与证据”工作表。</x:t>
        </x:r>
      </x:text>
    </x:comment>
    <x:comment ref="C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寒武纪2025年年度报告（S1）；完整URL见“来源与证据”工作表。</x:t>
        </x:r>
      </x:text>
    </x:comment>
    <x:comment ref="C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寒武纪2025年年度报告（S1）；完整URL见“来源与证据”工作表。</x:t>
        </x:r>
      </x:text>
    </x:comment>
    <x:comment ref="C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寒武纪2025年年度报告（S1）；完整URL见“来源与证据”工作表。</x:t>
        </x:r>
      </x:text>
    </x:comment>
    <x:comment ref="C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寒武纪2025年年度报告（S1）；完整URL见“来源与证据”工作表。</x:t>
        </x:r>
      </x:text>
    </x:comment>
    <x:comment ref="C18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寒武纪2025年年度报告（S1）；完整URL见“来源与证据”工作表。</x:t>
        </x:r>
      </x:text>
    </x:comment>
    <x:comment ref="C2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寒武纪2025年年度报告（S1）；完整URL见“来源与证据”工作表。</x:t>
        </x:r>
      </x:text>
    </x:comment>
    <x:comment ref="C2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寒武纪2025年年度报告（S1）；完整URL见“来源与证据”工作表。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;[Red](0.00%);-"/>
    <x:numFmt numFmtId="201" formatCode="0.0000%;[Red](0.0000%);-"/>
    <x:numFmt numFmtId="202" formatCode="0"/>
    <x:numFmt numFmtId="203" formatCode="0%;[Red](0%);-"/>
    <x:numFmt numFmtId="204" formatCode="0%"/>
    <x:numFmt numFmtId="205" formatCode="#,##0.00;[Red](#,##0.00);-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4E78"/>
      <x:name val="Carlito"/>
    </x:font>
    <x:font>
      <x:b/>
      <x:sz val="12"/>
      <x:color rgb="FFFFFFFF"/>
      <x:name val="Carlito"/>
    </x:font>
    <x:font>
      <x:sz val="10"/>
      <x:color rgb="FF1F2937"/>
      <x:name val="Carlito"/>
    </x:font>
    <x:font>
      <x:b/>
      <x:sz val="12"/>
      <x:color rgb="FF1F4E78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0"/>
      <x:color rgb="FF1F4E78"/>
      <x:name val="Carlito"/>
    </x:font>
    <x:font>
      <x:b/>
      <x:sz val="10"/>
      <x:color rgb="FF7A4E00"/>
      <x:name val="Carlito"/>
    </x:font>
    <x:font>
      <x:b/>
      <x:sz val="11"/>
      <x:color rgb="FF2E7D32"/>
      <x:name val="Carlito"/>
    </x:font>
    <x:font>
      <x:sz val="9"/>
      <x:color rgb="FF0000FF"/>
      <x:name val="Carlito"/>
    </x:font>
    <x:font>
      <x:sz val="9"/>
      <x:color rgb="FF000000"/>
      <x:name val="Carlito"/>
    </x:font>
    <x:font>
      <x:sz val="9"/>
      <x:color rgb="FF0563C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0F6B78"/>
      </x:patternFill>
    </x:fill>
    <x:fill>
      <x:patternFill patternType="solid">
        <x:fgColor rgb="FFF7FAFC"/>
      </x:patternFill>
    </x:fill>
    <x:fill>
      <x:patternFill patternType="solid">
        <x:fgColor rgb="FFDDEBF7"/>
      </x:patternFill>
    </x:fill>
    <x:fill>
      <x:patternFill patternType="solid">
        <x:fgColor rgb="FFEEF4F8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C62828"/>
      </x:patternFill>
    </x:fill>
  </x:fills>
  <x:borders count="6">
    <x:border/>
    <x:border>
      <x:bottom style="medium">
        <x:color rgb="FF17365D"/>
      </x:bottom>
    </x:border>
    <x:border>
      <x:bottom style="thin">
        <x:color rgb="FFE4EAF0"/>
      </x:bottom>
    </x:border>
    <x:border>
      <x:top style="thin">
        <x:color rgb="FFE4EAF0"/>
      </x:top>
      <x:bottom style="thin">
        <x:color rgb="FFE4EAF0"/>
      </x:bottom>
    </x:border>
    <x:border>
      <x:top style="thin">
        <x:color rgb="FFE4EAF0"/>
      </x:top>
    </x:border>
    <x:border>
      <x:top style="double">
        <x:color rgb="FF2E7D32"/>
      </x:top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200" fontId="8" fillId="0" borderId="2" xfId="0" applyNumberFormat="1" applyFont="1" applyFill="1" applyBorder="1" applyAlignment="1">
      <x:alignment vertical="top" wrapText="1"/>
    </x:xf>
    <x:xf numFmtId="200" fontId="8" fillId="0" borderId="3" xfId="0" applyNumberFormat="1" applyFont="1" applyFill="1" applyBorder="1" applyAlignment="1">
      <x:alignment vertical="top" wrapText="1"/>
    </x:xf>
    <x:xf numFmtId="200" fontId="8" fillId="0" borderId="4" xfId="0" applyNumberFormat="1" applyFont="1" applyFill="1" applyBorder="1" applyAlignment="1">
      <x:alignment vertical="top" wrapText="1"/>
    </x:xf>
    <x:xf numFmtId="201" fontId="8" fillId="0" borderId="3" xfId="0" applyNumberFormat="1" applyFont="1" applyFill="1" applyBorder="1" applyAlignment="1">
      <x:alignment vertical="top" wrapText="1"/>
    </x:xf>
    <x:xf numFmtId="202" fontId="8" fillId="0" borderId="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  <x:xf numFmtId="203" fontId="8" fillId="0" borderId="2" xfId="0" applyNumberFormat="1" applyFont="1" applyFill="1" applyBorder="1" applyAlignment="1">
      <x:alignment vertical="top" wrapText="1"/>
    </x:xf>
    <x:xf numFmtId="203" fontId="8" fillId="0" borderId="3" xfId="0" applyNumberFormat="1" applyFont="1" applyFill="1" applyBorder="1" applyAlignment="1">
      <x:alignment vertical="top" wrapText="1"/>
    </x:xf>
    <x:xf numFmtId="203" fontId="8" fillId="0" borderId="4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center" wrapText="1"/>
    </x:xf>
    <x:xf numFmtId="203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203" fontId="8" fillId="0" borderId="3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203" fontId="8" fillId="0" borderId="4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5" xfId="0" applyNumberFormat="1" applyFont="1" applyFill="1" applyBorder="1"/>
    <x:xf numFmtId="204" fontId="11" fillId="11" borderId="5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horizontal="center" vertical="top" wrapText="1"/>
    </x:xf>
    <x:xf numFmtId="0" fontId="11" fillId="11" borderId="5" xfId="0" applyNumberFormat="1" applyFont="1" applyFill="1" applyBorder="1" applyAlignment="1">
      <x:alignment vertical="top"/>
    </x:xf>
    <x:xf numFmtId="204" fontId="11" fillId="11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6" fillId="8" borderId="0" xfId="0" applyNumberFormat="1" applyFont="1" applyFill="1" applyBorder="1" applyAlignment="1">
      <x:alignment vertical="top"/>
    </x:xf>
    <x:xf numFmtId="0" fontId="6" fillId="12" borderId="0" xfId="0" applyNumberFormat="1" applyFont="1" applyFill="1" applyBorder="1" applyAlignment="1">
      <x:alignment vertical="top"/>
    </x:xf>
    <x:xf numFmtId="0" fontId="12" fillId="0" borderId="2" xfId="0" applyNumberFormat="1" applyFont="1" applyFill="1" applyBorder="1" applyAlignment="1">
      <x:alignment vertical="top" wrapText="1"/>
    </x:xf>
    <x:xf numFmtId="0" fontId="12" fillId="0" borderId="3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top" wrapText="1"/>
    </x:xf>
    <x:xf numFmtId="0" fontId="13" fillId="0" borderId="2" xfId="0" applyNumberFormat="1" applyFont="1" applyFill="1" applyBorder="1" applyAlignment="1">
      <x:alignment vertical="top" wrapText="1"/>
    </x:xf>
    <x:xf numFmtId="0" fontId="13" fillId="0" borderId="3" xfId="0" applyNumberFormat="1" applyFont="1" applyFill="1" applyBorder="1" applyAlignment="1">
      <x:alignment vertical="top" wrapText="1"/>
    </x:xf>
    <x:xf numFmtId="0" fontId="13" fillId="0" borderId="4" xfId="0" applyNumberFormat="1" applyFont="1" applyFill="1" applyBorder="1" applyAlignment="1">
      <x:alignment vertical="top" wrapText="1"/>
    </x:xf>
    <x:xf numFmtId="205" fontId="12" fillId="0" borderId="2" xfId="0" applyNumberFormat="1" applyFont="1" applyFill="1" applyBorder="1" applyAlignment="1">
      <x:alignment vertical="top" wrapText="1"/>
    </x:xf>
    <x:xf numFmtId="205" fontId="12" fillId="0" borderId="3" xfId="0" applyNumberFormat="1" applyFont="1" applyFill="1" applyBorder="1" applyAlignment="1">
      <x:alignment vertical="top" wrapText="1"/>
    </x:xf>
    <x:xf numFmtId="200" fontId="13" fillId="0" borderId="3" xfId="0" applyNumberFormat="1" applyFont="1" applyFill="1" applyBorder="1" applyAlignment="1">
      <x:alignment vertical="top" wrapText="1"/>
    </x:xf>
    <x:xf numFmtId="200" fontId="12" fillId="0" borderId="3" xfId="0" applyNumberFormat="1" applyFont="1" applyFill="1" applyBorder="1" applyAlignment="1">
      <x:alignment vertical="top" wrapText="1"/>
    </x:xf>
    <x:xf numFmtId="201" fontId="13" fillId="0" borderId="3" xfId="0" applyNumberFormat="1" applyFont="1" applyFill="1" applyBorder="1" applyAlignment="1">
      <x:alignment vertical="top" wrapText="1"/>
    </x:xf>
    <x:xf numFmtId="0" fontId="14" fillId="0" borderId="2" xfId="0" applyNumberFormat="1" applyFont="1" applyFill="1" applyBorder="1" applyAlignment="1">
      <x:alignment vertical="top" wrapText="1"/>
    </x:xf>
    <x:xf numFmtId="0" fontId="14" fillId="0" borderId="3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vertical="top" wrapText="1"/>
    </x:xf>
    <x:xf numFmtId="202" fontId="8" fillId="0" borderId="2" xfId="0" applyNumberFormat="1" applyFont="1" applyFill="1" applyBorder="1" applyAlignment="1">
      <x:alignment vertical="top" wrapText="1"/>
    </x:xf>
    <x:xf numFmtId="202" fontId="8" fillId="0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/>
    </x:xf>
    <x:xf numFmtId="0" fontId="9" fillId="9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top"/>
    </x:xf>
  </x:cellXfs>
  <x:cellStyles count="1">
    <x:cellStyle name="Normal" xfId="0"/>
  </x:cellStyles>
  <x:dxfs count="8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color rgb="FFB7791F"/>
      </x:font>
      <x:fill>
        <x:patternFill patternType="solid">
          <x:bgColor rgb="FFFFF2CC"/>
        </x:patternFill>
      </x:fill>
    </x:dxf>
    <x:dxf>
      <x:font>
        <x:color rgb="FFB7791F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62828"/>
      </x:font>
      <x:fill>
        <x:patternFill patternType="solid">
          <x:bgColor rgb="FFFCE4D6"/>
        </x:patternFill>
      </x:fill>
    </x:dxf>
    <x:dxf>
      <x:font>
        <x:color rgb="FF2E7D32"/>
      </x:font>
      <x:fill>
        <x:patternFill patternType="solid">
          <x:bgColor rgb="FFE2F0D9"/>
        </x:patternFill>
      </x:fill>
    </x:dxf>
    <x:dxf>
      <x:font>
        <x:color rgb="FFB7791F"/>
      </x:font>
      <x:fill>
        <x:patternFill patternType="solid">
          <x:bgColor rgb="FFFFF2CC"/>
        </x:patternFill>
      </x:fill>
    </x:dxf>
    <x:dxf>
      <x:font>
        <x:color rgb="FFC62828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8391f80ae4a25" /><Relationship Type="http://schemas.openxmlformats.org/officeDocument/2006/relationships/theme" Target="/xl/theme/theme1.xml" Id="R840abdfc21da4c79" /><Relationship Type="http://schemas.openxmlformats.org/officeDocument/2006/relationships/sharedStrings" Target="/xl/sharedStrings.xml" Id="Rf429b003818d43f3" /><Relationship Type="http://schemas.openxmlformats.org/officeDocument/2006/relationships/worksheet" Target="/xl/worksheets/sheet1.xml" Id="R0d78278ab1ed4648" /><Relationship Type="http://schemas.openxmlformats.org/officeDocument/2006/relationships/worksheet" Target="/xl/worksheets/sheet2.xml" Id="Rc06db7367d3e4dcc" /><Relationship Type="http://schemas.openxmlformats.org/officeDocument/2006/relationships/worksheet" Target="/xl/worksheets/sheet3.xml" Id="Rd34bb3f185ba433a" /><Relationship Type="http://schemas.openxmlformats.org/officeDocument/2006/relationships/worksheet" Target="/xl/worksheets/sheet4.xml" Id="R7fe7488f3a8c451d" /><Relationship Type="http://schemas.openxmlformats.org/officeDocument/2006/relationships/worksheet" Target="/xl/worksheets/sheet5.xml" Id="Rdfacfe2572de4fb1" /><Relationship Type="http://schemas.openxmlformats.org/officeDocument/2006/relationships/worksheet" Target="/xl/worksheets/sheet6.xml" Id="R472b89bc543348f6" /><Relationship Type="http://schemas.openxmlformats.org/officeDocument/2006/relationships/worksheet" Target="/xl/worksheets/sheet7.xml" Id="Rfe1bdcec62364506" /><Relationship Type="http://schemas.microsoft.com/office/2017/10/relationships/person" Target="/xl/persons/person.xml" Id="Rc59cb75dd7154438" /></Relationships>
</file>

<file path=xl/persons/person.xml><?xml version="1.0" encoding="utf-8"?>
<xltc:personList xmlns:xltc="http://schemas.microsoft.com/office/spreadsheetml/2018/threadedcomments">
  <xltc:person displayName="Codex" id="{04F30EAD-249D-4ACA-9E20-F141CF9C11C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5" dT="2026-08-12T10:53:41.619" personId="{04F30EAD-249D-4ACA-9E20-F141CF9C11C5}" id="{29BB5A95-74CD-BE84-EF05-9297CF0A258F}">
    <xltc:text>Source: 寒武纪2025年年度报告（S1）；完整URL见“来源与证据”工作表。</xltc:text>
  </xltc:threadedComment>
  <xltc:threadedComment ref="C7" dT="2026-08-12T10:53:41.621" personId="{04F30EAD-249D-4ACA-9E20-F141CF9C11C5}" id="{5EFA32A7-814E-0994-2628-CEB6FC653FFA}">
    <xltc:text>Source: 寒武纪2025年年度报告（S1）；完整URL见“来源与证据”工作表。</xltc:text>
  </xltc:threadedComment>
  <xltc:threadedComment ref="C8" dT="2026-08-12T10:53:41.621" personId="{04F30EAD-249D-4ACA-9E20-F141CF9C11C5}" id="{76409743-24E4-D95E-EE76-28D51AED8C95}">
    <xltc:text>Source: 寒武纪2025年年度报告（S1）；完整URL见“来源与证据”工作表。</xltc:text>
  </xltc:threadedComment>
  <xltc:threadedComment ref="C10" dT="2026-08-12T10:53:41.621" personId="{04F30EAD-249D-4ACA-9E20-F141CF9C11C5}" id="{6D3864A6-85F8-67F0-B1FD-C5BE22FF9A91}">
    <xltc:text>Source: 寒武纪2025年年度报告（S1）；完整URL见“来源与证据”工作表。</xltc:text>
  </xltc:threadedComment>
  <xltc:threadedComment ref="C13" dT="2026-08-12T10:53:41.621" personId="{04F30EAD-249D-4ACA-9E20-F141CF9C11C5}" id="{D59B27AE-E84B-B268-6E5F-EBB7799231EE}">
    <xltc:text>Source: 寒武纪2025年年度报告（S1）；完整URL见“来源与证据”工作表。</xltc:text>
  </xltc:threadedComment>
  <xltc:threadedComment ref="C18" dT="2026-08-12T10:53:41.621" personId="{04F30EAD-249D-4ACA-9E20-F141CF9C11C5}" id="{1884F249-6F5B-140F-0851-45A1E40910ED}">
    <xltc:text>Source: 寒武纪2025年年度报告（S1）；完整URL见“来源与证据”工作表。</xltc:text>
  </xltc:threadedComment>
  <xltc:threadedComment ref="C21" dT="2026-08-12T10:53:41.621" personId="{04F30EAD-249D-4ACA-9E20-F141CF9C11C5}" id="{539EA744-4BC6-86FE-49CB-BC44F78086BF}">
    <xltc:text>Source: 寒武纪2025年年度报告（S1）；完整URL见“来源与证据”工作表。</xltc:text>
  </xltc:threadedComment>
  <xltc:threadedComment ref="C23" dT="2026-08-12T10:53:41.621" personId="{04F30EAD-249D-4ACA-9E20-F141CF9C11C5}" id="{131766D1-1FE4-CE80-377E-908E0909BDEA}">
    <xltc:text>Source: 寒武纪2025年年度报告（S1）；完整URL见“来源与证据”工作表。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44f8cbc0da4c4f4c" /><Relationship Type="http://schemas.openxmlformats.org/officeDocument/2006/relationships/vmlDrawing" Target="/xl/drawings/vmldrawing.vml" Id="R828a5ec994fb4976" /><Relationship Type="http://schemas.microsoft.com/office/2017/10/relationships/threadedComment" Target="/xl/threadedcomments/threadedcomment.xml" Id="R7a3d1a54cfd441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3" hidden="0" customWidth="1"/>
  </x:cols>
  <x:sheetData>
    <x:row r="1" ht="30" customHeight="1">
      <x:c r="A1" s="95" t="str">
        <x:v>寒武纪（688256）科创企业风险指标体系｜可获取性重构版</x:v>
      </x:c>
      <x:c r="B1" s="95" t="str">
        <x:v>寒武纪（688256）科创企业风险指标体系｜可获取性重构版</x:v>
      </x:c>
      <x:c r="C1" s="95" t="str">
        <x:v>寒武纪（688256）科创企业风险指标体系｜可获取性重构版</x:v>
      </x:c>
      <x:c r="D1" s="95" t="str">
        <x:v>寒武纪（688256）科创企业风险指标体系｜可获取性重构版</x:v>
      </x:c>
      <x:c r="E1" s="95" t="str">
        <x:v>寒武纪（688256）科创企业风险指标体系｜可获取性重构版</x:v>
      </x:c>
      <x:c r="F1" s="95" t="str">
        <x:v>寒武纪（688256）科创企业风险指标体系｜可获取性重构版</x:v>
      </x:c>
      <x:c r="G1" s="95" t="str">
        <x:v>寒武纪（688256）科创企业风险指标体系｜可获取性重构版</x:v>
      </x:c>
      <x:c r="H1" s="95" t="str">
        <x:v>寒武纪（688256）科创企业风险指标体系｜可获取性重构版</x:v>
      </x:c>
    </x:row>
    <x:row r="2" ht="34" customHeight="1">
      <x:c r="A2" s="96" t="str">
        <x:v>版本：2026-08-12｜核心样例口径：2025年度报告（截至2025-12-31）｜2026一季报、半年报用于后续滚动更新</x:v>
      </x:c>
      <x:c r="B2" s="96" t="str">
        <x:v>版本：2026-08-12｜核心样例口径：2025年度报告（截至2025-12-31）｜2026一季报、半年报用于后续滚动更新</x:v>
      </x:c>
      <x:c r="C2" s="96" t="str">
        <x:v>版本：2026-08-12｜核心样例口径：2025年度报告（截至2025-12-31）｜2026一季报、半年报用于后续滚动更新</x:v>
      </x:c>
      <x:c r="D2" s="96" t="str">
        <x:v>版本：2026-08-12｜核心样例口径：2025年度报告（截至2025-12-31）｜2026一季报、半年报用于后续滚动更新</x:v>
      </x:c>
      <x:c r="E2" s="96" t="str">
        <x:v>版本：2026-08-12｜核心样例口径：2025年度报告（截至2025-12-31）｜2026一季报、半年报用于后续滚动更新</x:v>
      </x:c>
      <x:c r="F2" s="96" t="str">
        <x:v>版本：2026-08-12｜核心样例口径：2025年度报告（截至2025-12-31）｜2026一季报、半年报用于后续滚动更新</x:v>
      </x:c>
      <x:c r="G2" s="96" t="str">
        <x:v>版本：2026-08-12｜核心样例口径：2025年度报告（截至2025-12-31）｜2026一季报、半年报用于后续滚动更新</x:v>
      </x:c>
      <x:c r="H2" s="96" t="str">
        <x:v>版本：2026-08-12｜核心样例口径：2025年度报告（截至2025-12-31）｜2026一季报、半年报用于后续滚动更新</x:v>
      </x:c>
    </x:row>
    <x:row r="3">
      <x:c r="A3" s="76"/>
      <x:c r="B3" s="76"/>
      <x:c r="C3" s="76"/>
      <x:c r="D3" s="76"/>
      <x:c r="E3" s="76"/>
      <x:c r="F3" s="76"/>
      <x:c r="G3" s="76"/>
      <x:c r="H3" s="76"/>
    </x:row>
    <x:row r="4">
      <x:c r="A4" s="97" t="str">
        <x:v>本版核心结论</x:v>
      </x:c>
      <x:c r="B4" s="97"/>
      <x:c r="C4" s="97"/>
      <x:c r="D4" s="97"/>
      <x:c r="E4" s="97"/>
      <x:c r="F4" s="97"/>
      <x:c r="G4" s="97"/>
      <x:c r="H4" s="97"/>
    </x:row>
    <x:row r="5" ht="34" customHeight="1">
      <x:c r="A5" s="98" t="str">
        <x:v>1</x:v>
      </x:c>
      <x:c r="B5" s="99" t="str">
        <x:v>核心评分只保留“可复核、可连续更新”的18项指标，权重合计100%。</x:v>
      </x:c>
      <x:c r="C5" s="99"/>
      <x:c r="D5" s="99"/>
      <x:c r="E5" s="99"/>
      <x:c r="F5" s="99"/>
      <x:c r="G5" s="99"/>
      <x:c r="H5" s="99"/>
    </x:row>
    <x:row r="6" ht="34" customHeight="1">
      <x:c r="A6" s="98" t="str">
        <x:v>2</x:v>
      </x:c>
      <x:c r="B6" s="100" t="str">
        <x:v>叙事热度、表述偏差、概念股标签等保留为非加权监测项，避免搜索算法与LLM标注误差直接污染分数。</x:v>
      </x:c>
      <x:c r="C6" s="100"/>
      <x:c r="D6" s="100"/>
      <x:c r="E6" s="100"/>
      <x:c r="F6" s="100"/>
      <x:c r="G6" s="100"/>
      <x:c r="H6" s="100"/>
    </x:row>
    <x:row r="7" ht="34" customHeight="1">
      <x:c r="A7" s="98" t="str">
        <x:v>3</x:v>
      </x:c>
      <x:c r="B7" s="99" t="str">
        <x:v>TRL、统一工况性能分位、BOM级自主可控度、项目商业转化率等移至尽调层；公开披露无法稳定获得分母或统一口径。</x:v>
      </x:c>
      <x:c r="C7" s="99"/>
      <x:c r="D7" s="99"/>
      <x:c r="E7" s="99"/>
      <x:c r="F7" s="99"/>
      <x:c r="G7" s="99"/>
      <x:c r="H7" s="99"/>
    </x:row>
    <x:row r="8" ht="34" customHeight="1">
      <x:c r="A8" s="98" t="str">
        <x:v>4</x:v>
      </x:c>
      <x:c r="B8" s="100" t="str">
        <x:v>新增客户集中度、供应商集中度、经营现金流率、应收集中度等高可得性指标，弥补原表对商业化兑现和供应链集中风险覆盖不足。</x:v>
      </x:c>
      <x:c r="C8" s="100"/>
      <x:c r="D8" s="100"/>
      <x:c r="E8" s="100"/>
      <x:c r="F8" s="100"/>
      <x:c r="G8" s="100"/>
      <x:c r="H8" s="100"/>
    </x:row>
    <x:row r="9" ht="34" customHeight="1">
      <x:c r="A9" s="98" t="str">
        <x:v>5</x:v>
      </x:c>
      <x:c r="B9" s="99" t="str">
        <x:v>红旗事件单独覆盖：制裁清单、重大处罚、重大质量事故、控制权失稳等，不与普通权重相互抵消。</x:v>
      </x:c>
      <x:c r="C9" s="99"/>
      <x:c r="D9" s="99"/>
      <x:c r="E9" s="99"/>
      <x:c r="F9" s="99"/>
      <x:c r="G9" s="99"/>
      <x:c r="H9" s="99"/>
    </x:row>
    <x:row r="10">
      <x:c r="A10" s="76"/>
      <x:c r="B10" s="76"/>
      <x:c r="C10" s="76"/>
      <x:c r="D10" s="76"/>
      <x:c r="E10" s="76"/>
      <x:c r="F10" s="76"/>
      <x:c r="G10" s="76"/>
      <x:c r="H10" s="76"/>
    </x:row>
    <x:row r="11" ht="24" customHeight="1">
      <x:c r="A11" s="101" t="str">
        <x:v>寒武纪2025年报可直接提取的代表性参数</x:v>
      </x:c>
      <x:c r="B11" s="101" t="str">
        <x:v>寒武纪2025年报可直接提取的代表性参数</x:v>
      </x:c>
      <x:c r="C11" s="101" t="str">
        <x:v>寒武纪2025年报可直接提取的代表性参数</x:v>
      </x:c>
      <x:c r="D11" s="101" t="str">
        <x:v>寒武纪2025年报可直接提取的代表性参数</x:v>
      </x:c>
      <x:c r="E11" s="101" t="str">
        <x:v>寒武纪2025年报可直接提取的代表性参数</x:v>
      </x:c>
      <x:c r="F11" s="101" t="str">
        <x:v>寒武纪2025年报可直接提取的代表性参数</x:v>
      </x:c>
      <x:c r="G11" s="101" t="str">
        <x:v>寒武纪2025年报可直接提取的代表性参数</x:v>
      </x:c>
      <x:c r="H11" s="101" t="str">
        <x:v>寒武纪2025年报可直接提取的代表性参数</x:v>
      </x:c>
    </x:row>
    <x:row r="12" ht="34" customHeight="1">
      <x:c r="A12" s="73" t="str">
        <x:v>参数</x:v>
      </x:c>
      <x:c r="B12" s="73" t="str">
        <x:v>样例值</x:v>
      </x:c>
      <x:c r="C12" s="73" t="str">
        <x:v>参数</x:v>
      </x:c>
      <x:c r="D12" s="73" t="str">
        <x:v>样例值</x:v>
      </x:c>
      <x:c r="E12" s="73" t="str">
        <x:v>参数</x:v>
      </x:c>
      <x:c r="F12" s="73" t="str">
        <x:v>样例值</x:v>
      </x:c>
      <x:c r="G12" s="73" t="str">
        <x:v>参数</x:v>
      </x:c>
      <x:c r="H12" s="73" t="str">
        <x:v>样例值</x:v>
      </x:c>
    </x:row>
    <x:row r="13">
      <x:c r="A13" s="37" t="str">
        <x:v>营业收入增速</x:v>
      </x:c>
      <x:c r="B13" s="40" t="n">
        <x:v>4.5321</x:v>
      </x:c>
      <x:c r="C13" s="37" t="str">
        <x:v>研发投入强度</x:v>
      </x:c>
      <x:c r="D13" s="40" t="n">
        <x:v>0.1799</x:v>
      </x:c>
      <x:c r="E13" s="37" t="str">
        <x:v>研发人员占比</x:v>
      </x:c>
      <x:c r="F13" s="40" t="n">
        <x:v>0.8013</x:v>
      </x:c>
      <x:c r="G13" s="37" t="str">
        <x:v>经营现金流率</x:v>
      </x:c>
      <x:c r="H13" s="40" t="n">
        <x:v>-0.0767</x:v>
      </x:c>
    </x:row>
    <x:row r="14">
      <x:c r="A14" s="38" t="str">
        <x:v>客户CR5</x:v>
      </x:c>
      <x:c r="B14" s="41" t="n">
        <x:v>0.8866</x:v>
      </x:c>
      <x:c r="C14" s="38" t="str">
        <x:v>供应商CR1</x:v>
      </x:c>
      <x:c r="D14" s="41" t="n">
        <x:v>0.5534</x:v>
      </x:c>
      <x:c r="E14" s="38" t="str">
        <x:v>供应商CR5</x:v>
      </x:c>
      <x:c r="F14" s="41" t="n">
        <x:v>0.7523</x:v>
      </x:c>
      <x:c r="G14" s="38" t="str">
        <x:v>应收/合同资产CR5</x:v>
      </x:c>
      <x:c r="H14" s="41" t="n">
        <x:v>0.9409</x:v>
      </x:c>
    </x:row>
    <x:row r="15">
      <x:c r="A15" s="38" t="str">
        <x:v>累计授权/申请专利（代理）</x:v>
      </x:c>
      <x:c r="B15" s="41" t="n">
        <x:v>0.6093</x:v>
      </x:c>
      <x:c r="C15" s="38" t="str">
        <x:v>无形资产/总资产</x:v>
      </x:c>
      <x:c r="D15" s="41" t="n">
        <x:v>0.0141</x:v>
      </x:c>
      <x:c r="E15" s="38" t="str">
        <x:v>境外收入占比</x:v>
      </x:c>
      <x:c r="F15" s="43" t="n">
        <x:v>0.0000103</x:v>
      </x:c>
      <x:c r="G15" s="38" t="str">
        <x:v>实控人控制口径</x:v>
      </x:c>
      <x:c r="H15" s="38" t="n">
        <x:v>0.3562</x:v>
      </x:c>
    </x:row>
    <x:row r="16">
      <x:c r="A16" s="39" t="str">
        <x:v>重大诉讼请求/营业收入</x:v>
      </x:c>
      <x:c r="B16" s="42" t="n">
        <x:v>0.6597652767313522</x:v>
      </x:c>
      <x:c r="C16" s="39" t="str">
        <x:v>定增股本稀释</x:v>
      </x:c>
      <x:c r="D16" s="42" t="n">
        <x:v>0.00797166060558868</x:v>
      </x:c>
      <x:c r="E16" s="39" t="str">
        <x:v>BIS实体清单命中</x:v>
      </x:c>
      <x:c r="F16" s="42" t="str">
        <x:v>是（公司及多家关联主体）</x:v>
      </x:c>
      <x:c r="G16" s="39" t="str">
        <x:v>近三年证券监管处罚</x:v>
      </x:c>
      <x:c r="H16" s="44" t="n">
        <x:v>0</x:v>
      </x:c>
    </x:row>
    <x:row r="17">
      <x:c r="A17" s="76"/>
      <x:c r="B17" s="76"/>
      <x:c r="C17" s="76"/>
      <x:c r="D17" s="76"/>
      <x:c r="E17" s="76"/>
      <x:c r="F17" s="76"/>
      <x:c r="G17" s="76"/>
      <x:c r="H17" s="76"/>
    </x:row>
    <x:row r="18" ht="24" customHeight="1">
      <x:c r="A18" s="101" t="str">
        <x:v>使用规则</x:v>
      </x:c>
      <x:c r="B18" s="101" t="str">
        <x:v>使用规则</x:v>
      </x:c>
      <x:c r="C18" s="101" t="str">
        <x:v>使用规则</x:v>
      </x:c>
      <x:c r="D18" s="101" t="str">
        <x:v>使用规则</x:v>
      </x:c>
      <x:c r="E18" s="101" t="str">
        <x:v>使用规则</x:v>
      </x:c>
      <x:c r="F18" s="101" t="str">
        <x:v>使用规则</x:v>
      </x:c>
      <x:c r="G18" s="101" t="str">
        <x:v>使用规则</x:v>
      </x:c>
      <x:c r="H18" s="101" t="str">
        <x:v>使用规则</x:v>
      </x:c>
    </x:row>
    <x:row r="19" ht="30" customHeight="1">
      <x:c r="A19" s="102" t="str">
        <x:v>评分范围</x:v>
      </x:c>
      <x:c r="B19" s="103" t="str">
        <x:v>核心18项形成0—100风险分；分值越高风险越高。</x:v>
      </x:c>
      <x:c r="C19" s="103"/>
      <x:c r="D19" s="103"/>
      <x:c r="E19" s="103"/>
      <x:c r="F19" s="103"/>
      <x:c r="G19" s="103"/>
      <x:c r="H19" s="103"/>
    </x:row>
    <x:row r="20" ht="30" customHeight="1">
      <x:c r="A20" s="104" t="str">
        <x:v>同业比较</x:v>
      </x:c>
      <x:c r="B20" s="99" t="str">
        <x:v>连续变量优先使用同赛道、同阶段公司的年度分位；样例参数不等于已完成最终风险评分。</x:v>
      </x:c>
      <x:c r="C20" s="99"/>
      <x:c r="D20" s="99"/>
      <x:c r="E20" s="99"/>
      <x:c r="F20" s="99"/>
      <x:c r="G20" s="99"/>
      <x:c r="H20" s="99"/>
    </x:row>
    <x:row r="21" ht="30" customHeight="1">
      <x:c r="A21" s="102" t="str">
        <x:v>缺失值</x:v>
      </x:c>
      <x:c r="B21" s="103" t="str">
        <x:v>不得按0填充。缺失权重≤所在维度30%时在维度内重标；超过30%则该维度标记“不可评分”。</x:v>
      </x:c>
      <x:c r="C21" s="103"/>
      <x:c r="D21" s="103"/>
      <x:c r="E21" s="103"/>
      <x:c r="F21" s="103"/>
      <x:c r="G21" s="103"/>
      <x:c r="H21" s="103"/>
    </x:row>
    <x:row r="22" ht="30" customHeight="1">
      <x:c r="A22" s="104" t="str">
        <x:v>更新频率</x:v>
      </x:c>
      <x:c r="B22" s="99" t="str">
        <x:v>财务与人员按季/半年/年；处罚、诉讼、问询、制裁与重大质量事件按日/周滚动。</x:v>
      </x:c>
      <x:c r="C22" s="99"/>
      <x:c r="D22" s="99"/>
      <x:c r="E22" s="99"/>
      <x:c r="F22" s="99"/>
      <x:c r="G22" s="99"/>
      <x:c r="H22" s="99"/>
    </x:row>
    <x:row r="23" ht="30" customHeight="1">
      <x:c r="A23" s="102" t="str">
        <x:v>本工作簿</x:v>
      </x:c>
      <x:c r="B23" s="103" t="str">
        <x:v>“寒武纪参数样本”保存原始输入和公式；“来源与证据”保存可追溯链接；“指标变更映射”解释每项为何调整。</x:v>
      </x:c>
      <x:c r="C23" s="103"/>
      <x:c r="D23" s="103"/>
      <x:c r="E23" s="103"/>
      <x:c r="F23" s="103"/>
      <x:c r="G23" s="103"/>
      <x:c r="H23" s="103"/>
    </x:row>
    <x:row r="24">
      <x:c r="A24" s="76"/>
      <x:c r="B24" s="76"/>
      <x:c r="C24" s="76"/>
      <x:c r="D24" s="76"/>
      <x:c r="E24" s="76"/>
      <x:c r="F24" s="76"/>
      <x:c r="G24" s="76"/>
      <x:c r="H24" s="76"/>
    </x:row>
    <x:row r="25">
      <x:c r="A25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B25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C25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D25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E25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F25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G25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H25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</x:row>
    <x:row r="26">
      <x:c r="A26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B26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C26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D26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E26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F26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G26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  <x:c r="H26" s="105" t="str">
        <x:v>重要限制：本表是基于公开信息的风险筛查工具，不是信用评级、审计意见或投资建议。对“技术领先性、BOM依赖、真实TRL、客户验收覆盖”等内部信息，应另行开展现场尽调。</x:v>
      </x:c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A11:H11"/>
    <x:mergeCell ref="A18:H18"/>
    <x:mergeCell ref="B19:H19"/>
    <x:mergeCell ref="B20:H20"/>
    <x:mergeCell ref="B21:H21"/>
    <x:mergeCell ref="B22:H22"/>
    <x:mergeCell ref="B23:H23"/>
    <x:mergeCell ref="A25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24" hidden="0" customWidth="1"/>
    <x:col min="4" max="4" width="9" hidden="0" customWidth="1"/>
    <x:col min="5" max="5" width="12" hidden="0" customWidth="1"/>
    <x:col min="6" max="6" width="31" hidden="0" customWidth="1"/>
    <x:col min="7" max="7" width="39" hidden="0" customWidth="1"/>
    <x:col min="8" max="8" width="35" hidden="0" customWidth="1"/>
    <x:col min="9" max="9" width="13" hidden="0" customWidth="1"/>
    <x:col min="10" max="10" width="11" hidden="0" customWidth="1"/>
    <x:col min="11" max="11" width="28" hidden="0" customWidth="1"/>
    <x:col min="12" max="12" width="31" hidden="0" customWidth="1"/>
    <x:col min="13" max="13" width="13" hidden="0" customWidth="1"/>
    <x:col min="14" max="14" width="20" hidden="0" customWidth="1"/>
    <x:col min="15" max="15" width="32" hidden="0" customWidth="1"/>
  </x:cols>
  <x:sheetData>
    <x:row r="1" ht="30" customHeight="1">
      <x:c r="A1" s="95" t="str">
        <x:v>调整后的核心风险指标体系（公开信息版）</x:v>
      </x:c>
      <x:c r="B1" s="95" t="str">
        <x:v>调整后的核心风险指标体系（公开信息版）</x:v>
      </x:c>
      <x:c r="C1" s="95" t="str">
        <x:v>调整后的核心风险指标体系（公开信息版）</x:v>
      </x:c>
      <x:c r="D1" s="95" t="str">
        <x:v>调整后的核心风险指标体系（公开信息版）</x:v>
      </x:c>
      <x:c r="E1" s="95" t="str">
        <x:v>调整后的核心风险指标体系（公开信息版）</x:v>
      </x:c>
      <x:c r="F1" s="95" t="str">
        <x:v>调整后的核心风险指标体系（公开信息版）</x:v>
      </x:c>
      <x:c r="G1" s="95" t="str">
        <x:v>调整后的核心风险指标体系（公开信息版）</x:v>
      </x:c>
      <x:c r="H1" s="95" t="str">
        <x:v>调整后的核心风险指标体系（公开信息版）</x:v>
      </x:c>
      <x:c r="I1" s="95" t="str">
        <x:v>调整后的核心风险指标体系（公开信息版）</x:v>
      </x:c>
      <x:c r="J1" s="95" t="str">
        <x:v>调整后的核心风险指标体系（公开信息版）</x:v>
      </x:c>
      <x:c r="K1" s="95" t="str">
        <x:v>调整后的核心风险指标体系（公开信息版）</x:v>
      </x:c>
      <x:c r="L1" s="95" t="str">
        <x:v>调整后的核心风险指标体系（公开信息版）</x:v>
      </x:c>
      <x:c r="M1" s="95" t="str">
        <x:v>调整后的核心风险指标体系（公开信息版）</x:v>
      </x:c>
      <x:c r="N1" s="95" t="str">
        <x:v>调整后的核心风险指标体系（公开信息版）</x:v>
      </x:c>
      <x:c r="O1" s="95" t="str">
        <x:v>调整后的核心风险指标体系（公开信息版）</x:v>
      </x:c>
    </x:row>
    <x:row r="2" ht="34" customHeight="1">
      <x:c r="A2" s="96" t="str">
        <x:v>结构：18项核心加权指标（100%） + 5项非加权叙事监测 + 5项红旗/尽调项；“高可得”优先进入核心评分</x:v>
      </x:c>
      <x:c r="B2" s="96" t="str">
        <x:v>结构：18项核心加权指标（100%） + 5项非加权叙事监测 + 5项红旗/尽调项；“高可得”优先进入核心评分</x:v>
      </x:c>
      <x:c r="C2" s="96" t="str">
        <x:v>结构：18项核心加权指标（100%） + 5项非加权叙事监测 + 5项红旗/尽调项；“高可得”优先进入核心评分</x:v>
      </x:c>
      <x:c r="D2" s="96" t="str">
        <x:v>结构：18项核心加权指标（100%） + 5项非加权叙事监测 + 5项红旗/尽调项；“高可得”优先进入核心评分</x:v>
      </x:c>
      <x:c r="E2" s="96" t="str">
        <x:v>结构：18项核心加权指标（100%） + 5项非加权叙事监测 + 5项红旗/尽调项；“高可得”优先进入核心评分</x:v>
      </x:c>
      <x:c r="F2" s="96" t="str">
        <x:v>结构：18项核心加权指标（100%） + 5项非加权叙事监测 + 5项红旗/尽调项；“高可得”优先进入核心评分</x:v>
      </x:c>
      <x:c r="G2" s="96" t="str">
        <x:v>结构：18项核心加权指标（100%） + 5项非加权叙事监测 + 5项红旗/尽调项；“高可得”优先进入核心评分</x:v>
      </x:c>
      <x:c r="H2" s="96" t="str">
        <x:v>结构：18项核心加权指标（100%） + 5项非加权叙事监测 + 5项红旗/尽调项；“高可得”优先进入核心评分</x:v>
      </x:c>
      <x:c r="I2" s="96" t="str">
        <x:v>结构：18项核心加权指标（100%） + 5项非加权叙事监测 + 5项红旗/尽调项；“高可得”优先进入核心评分</x:v>
      </x:c>
      <x:c r="J2" s="96" t="str">
        <x:v>结构：18项核心加权指标（100%） + 5项非加权叙事监测 + 5项红旗/尽调项；“高可得”优先进入核心评分</x:v>
      </x:c>
      <x:c r="K2" s="96" t="str">
        <x:v>结构：18项核心加权指标（100%） + 5项非加权叙事监测 + 5项红旗/尽调项；“高可得”优先进入核心评分</x:v>
      </x:c>
      <x:c r="L2" s="96" t="str">
        <x:v>结构：18项核心加权指标（100%） + 5项非加权叙事监测 + 5项红旗/尽调项；“高可得”优先进入核心评分</x:v>
      </x:c>
      <x:c r="M2" s="96" t="str">
        <x:v>结构：18项核心加权指标（100%） + 5项非加权叙事监测 + 5项红旗/尽调项；“高可得”优先进入核心评分</x:v>
      </x:c>
      <x:c r="N2" s="96" t="str">
        <x:v>结构：18项核心加权指标（100%） + 5项非加权叙事监测 + 5项红旗/尽调项；“高可得”优先进入核心评分</x:v>
      </x:c>
      <x:c r="O2" s="96" t="str">
        <x:v>结构：18项核心加权指标（100%） + 5项非加权叙事监测 + 5项红旗/尽调项；“高可得”优先进入核心评分</x:v>
      </x:c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  <x:c r="O3" s="76"/>
    </x:row>
    <x:row r="4" ht="34" customHeight="1">
      <x:c r="A4" s="73" t="str">
        <x:v>编号</x:v>
      </x:c>
      <x:c r="B4" s="73" t="str">
        <x:v>一级维度</x:v>
      </x:c>
      <x:c r="C4" s="73" t="str">
        <x:v>二级指标</x:v>
      </x:c>
      <x:c r="D4" s="73" t="str">
        <x:v>权重</x:v>
      </x:c>
      <x:c r="E4" s="73" t="str">
        <x:v>属性</x:v>
      </x:c>
      <x:c r="F4" s="73" t="str">
        <x:v>核心定义</x:v>
      </x:c>
      <x:c r="G4" s="73" t="str">
        <x:v>计算口径</x:v>
      </x:c>
      <x:c r="H4" s="73" t="str">
        <x:v>风险方向/建议评分</x:v>
      </x:c>
      <x:c r="I4" s="73" t="str">
        <x:v>更新频率</x:v>
      </x:c>
      <x:c r="J4" s="73" t="str">
        <x:v>可获取性</x:v>
      </x:c>
      <x:c r="K4" s="73" t="str">
        <x:v>主要公开来源</x:v>
      </x:c>
      <x:c r="L4" s="73" t="str">
        <x:v>寒武纪2025样例</x:v>
      </x:c>
      <x:c r="M4" s="73" t="str">
        <x:v>样例状态</x:v>
      </x:c>
      <x:c r="N4" s="73" t="str">
        <x:v>原表处理</x:v>
      </x:c>
      <x:c r="O4" s="73" t="str">
        <x:v>数据缺口/备注</x:v>
      </x:c>
    </x:row>
    <x:row r="5">
      <x:c r="A5" s="37" t="str">
        <x:v>T1</x:v>
      </x:c>
      <x:c r="B5" s="37" t="str">
        <x:v>技术与研发</x:v>
      </x:c>
      <x:c r="C5" s="37" t="str">
        <x:v>研发投入强度与趋势</x:v>
      </x:c>
      <x:c r="D5" s="55" t="n">
        <x:v>0.08</x:v>
      </x:c>
      <x:c r="E5" s="37" t="str">
        <x:v>连续/负向双尾</x:v>
      </x:c>
      <x:c r="F5" s="37" t="str">
        <x:v>衡量研发持续投入；过低代表投入不足，过高且商业化弱时也需预警。</x:v>
      </x:c>
      <x:c r="G5" s="37" t="str">
        <x:v>研发投入÷营业收入；并观察近3年趋势及绝对额。</x:v>
      </x:c>
      <x:c r="H5" s="37" t="str">
        <x:v>同业分位：过低高风险；极高且现金流弱时加收敛性惩罚。</x:v>
      </x:c>
      <x:c r="I5" s="37" t="str">
        <x:v>季/年</x:v>
      </x:c>
      <x:c r="J5" s="37" t="str">
        <x:v>高</x:v>
      </x:c>
      <x:c r="K5" s="37" t="str">
        <x:v>年报、季报</x:v>
      </x:c>
      <x:c r="L5" s="37" t="str">
        <x:v>17.99%；研发投入11.69亿元</x:v>
      </x:c>
      <x:c r="M5" s="37" t="str">
        <x:v>已计算</x:v>
      </x:c>
      <x:c r="N5" s="37" t="str">
        <x:v>合并“研发投入强度/持续创新能力”</x:v>
      </x:c>
      <x:c r="O5" s="37" t="str">
        <x:v>研发投入与利润表研发费用口径应分开保留。</x:v>
      </x:c>
    </x:row>
    <x:row r="6">
      <x:c r="A6" s="38" t="str">
        <x:v>T2</x:v>
      </x:c>
      <x:c r="B6" s="38" t="str">
        <x:v>技术与研发</x:v>
      </x:c>
      <x:c r="C6" s="38" t="str">
        <x:v>研发人员密度与学历结构</x:v>
      </x:c>
      <x:c r="D6" s="56" t="n">
        <x:v>0.05</x:v>
      </x:c>
      <x:c r="E6" s="38" t="str">
        <x:v>连续/正向</x:v>
      </x:c>
      <x:c r="F6" s="38" t="str">
        <x:v>研发人员占比和高学历结构反映技术型组织的人力基础。</x:v>
      </x:c>
      <x:c r="G6" s="38" t="str">
        <x:v>研发人员÷员工总数；硕士及以上研发人员÷研发人员。</x:v>
      </x:c>
      <x:c r="H6" s="38" t="str">
        <x:v>指标越低风险越高；与同业分位比较。</x:v>
      </x:c>
      <x:c r="I6" s="38" t="str">
        <x:v>半年/年</x:v>
      </x:c>
      <x:c r="J6" s="38" t="str">
        <x:v>高</x:v>
      </x:c>
      <x:c r="K6" s="38" t="str">
        <x:v>年报</x:v>
      </x:c>
      <x:c r="L6" s="38" t="str">
        <x:v>887/1,107=80.13%；硕士及以上80.95%</x:v>
      </x:c>
      <x:c r="M6" s="38" t="str">
        <x:v>已计算</x:v>
      </x:c>
      <x:c r="N6" s="38" t="str">
        <x:v>保留“核心技术人员占比”并规范口径</x:v>
      </x:c>
      <x:c r="O6" s="38" t="str">
        <x:v>公开信息通常是研发人员而非“核心技术人员”人数。</x:v>
      </x:c>
    </x:row>
    <x:row r="7">
      <x:c r="A7" s="38" t="str">
        <x:v>T3</x:v>
      </x:c>
      <x:c r="B7" s="38" t="str">
        <x:v>技术与研发</x:v>
      </x:c>
      <x:c r="C7" s="38" t="str">
        <x:v>专利组合有效性代理</x:v>
      </x:c>
      <x:c r="D7" s="56" t="n">
        <x:v>0.06</x:v>
      </x:c>
      <x:c r="E7" s="38" t="str">
        <x:v>连续/正向</x:v>
      </x:c>
      <x:c r="F7" s="38" t="str">
        <x:v>在公开数据下用有效授权、发明专利、海外布局反映技术资产活跃度。</x:v>
      </x:c>
      <x:c r="G7" s="38" t="str">
        <x:v>累计授权÷累计申请仅作代理；同时记录发明授权量、海外授权量和当年新增授权。</x:v>
      </x:c>
      <x:c r="H7" s="38" t="str">
        <x:v>越低风险越高；不得将累计授权/申请误称真实授权率。</x:v>
      </x:c>
      <x:c r="I7" s="38" t="str">
        <x:v>年</x:v>
      </x:c>
      <x:c r="J7" s="38" t="str">
        <x:v>高</x:v>
      </x:c>
      <x:c r="K7" s="38" t="str">
        <x:v>年报；CNIPA/WIPO复核</x:v>
      </x:c>
      <x:c r="L7" s="38" t="str">
        <x:v>授权1,734/申请2,846=60.93%代理；发明授权1,661项</x:v>
      </x:c>
      <x:c r="M7" s="38" t="str">
        <x:v>已计算</x:v>
      </x:c>
      <x:c r="N7" s="38" t="str">
        <x:v>替换“专利产出效率”；弱化主观先进性分级</x:v>
      </x:c>
      <x:c r="O7" s="38" t="str">
        <x:v>专利引用、族规模、法律状态需外部专利库。</x:v>
      </x:c>
    </x:row>
    <x:row r="8">
      <x:c r="A8" s="38" t="str">
        <x:v>T4</x:v>
      </x:c>
      <x:c r="B8" s="38" t="str">
        <x:v>技术与研发</x:v>
      </x:c>
      <x:c r="C8" s="38" t="str">
        <x:v>研发/募投里程碑兑现度</x:v>
      </x:c>
      <x:c r="D8" s="56" t="n">
        <x:v>0.06</x:v>
      </x:c>
      <x:c r="E8" s="38" t="str">
        <x:v>连续/负向</x:v>
      </x:c>
      <x:c r="F8" s="38" t="str">
        <x:v>用公开募投项目进度和延期/变更记录替代不可得的TRL自评。</x:v>
      </x:c>
      <x:c r="G8" s="38" t="str">
        <x:v>累计投入进度、计划完成日、是否延期/变更；项目进度偏差=计划进度-实际进度。</x:v>
      </x:c>
      <x:c r="H8" s="38" t="str">
        <x:v>延期、频繁变更或无证据为高风险。</x:v>
      </x:c>
      <x:c r="I8" s="38" t="str">
        <x:v>半年/年</x:v>
      </x:c>
      <x:c r="J8" s="38" t="str">
        <x:v>高</x:v>
      </x:c>
      <x:c r="K8" s="38" t="str">
        <x:v>募集资金专项报告、年报</x:v>
      </x:c>
      <x:c r="L8" s="38" t="str">
        <x:v>稳定工艺平台芯片项目累计进度74.05%，计划2026年5月可使用</x:v>
      </x:c>
      <x:c r="M8" s="38" t="str">
        <x:v>部分可得</x:v>
      </x:c>
      <x:c r="N8" s="38" t="str">
        <x:v>以“募投进度”替代公开不可测的TRL</x:v>
      </x:c>
      <x:c r="O8" s="38" t="str">
        <x:v>无公开计划进度时只能做事件式判断。</x:v>
      </x:c>
    </x:row>
    <x:row r="9">
      <x:c r="A9" s="38" t="str">
        <x:v>T5</x:v>
      </x:c>
      <x:c r="B9" s="38" t="str">
        <x:v>技术与研发</x:v>
      </x:c>
      <x:c r="C9" s="38" t="str">
        <x:v>认证/生态兼容与外部验证证据</x:v>
      </x:c>
      <x:c r="D9" s="56" t="n">
        <x:v>0.05</x:v>
      </x:c>
      <x:c r="E9" s="38" t="str">
        <x:v>分档/正向</x:v>
      </x:c>
      <x:c r="F9" s="38" t="str">
        <x:v>衡量产品是否有认证、客户验证、生态适配或独立测试证据。</x:v>
      </x:c>
      <x:c r="G9" s="38" t="str">
        <x:v>A=权威第三方/大规模客户验证；B=认证或公开兼容清单；C=仅企业自述；D=无证据。</x:v>
      </x:c>
      <x:c r="H9" s="38" t="str">
        <x:v>证据等级越低风险越高。</x:v>
      </x:c>
      <x:c r="I9" s="38" t="str">
        <x:v>半年/年</x:v>
      </x:c>
      <x:c r="J9" s="38" t="str">
        <x:v>中</x:v>
      </x:c>
      <x:c r="K9" s="38" t="str">
        <x:v>年报、认证机构、客户公告</x:v>
      </x:c>
      <x:c r="L9" s="38" t="str">
        <x:v>ISO 9001及多模型生态适配披露；客户验证覆盖率未披露</x:v>
      </x:c>
      <x:c r="M9" s="38" t="str">
        <x:v>部分可得</x:v>
      </x:c>
      <x:c r="N9" s="38" t="str">
        <x:v>补全“技术开源/”；改为可核验的生态/验证证据</x:v>
      </x:c>
      <x:c r="O9" s="38" t="str">
        <x:v>无法计算“关键测试通过率”。</x:v>
      </x:c>
    </x:row>
    <x:row r="10">
      <x:c r="A10" s="38" t="str">
        <x:v>F1</x:v>
      </x:c>
      <x:c r="B10" s="38" t="str">
        <x:v>商业化与财务</x:v>
      </x:c>
      <x:c r="C10" s="38" t="str">
        <x:v>营业收入增长与波动</x:v>
      </x:c>
      <x:c r="D10" s="56" t="n">
        <x:v>0.05</x:v>
      </x:c>
      <x:c r="E10" s="38" t="str">
        <x:v>连续/负向</x:v>
      </x:c>
      <x:c r="F10" s="38" t="str">
        <x:v>识别商业化放缓或大幅波动。</x:v>
      </x:c>
      <x:c r="G10" s="38" t="str">
        <x:v>本期同比增长率；近3年增长率标准差/最大回撤。</x:v>
      </x:c>
      <x:c r="H10" s="38" t="str">
        <x:v>持续负增长或骤降为高风险；单年高增长不直接等于低风险。</x:v>
      </x:c>
      <x:c r="I10" s="38" t="str">
        <x:v>季/年</x:v>
      </x:c>
      <x:c r="J10" s="38" t="str">
        <x:v>高</x:v>
      </x:c>
      <x:c r="K10" s="38" t="str">
        <x:v>财报</x:v>
      </x:c>
      <x:c r="L10" s="38" t="str">
        <x:v>2025年收入64.97亿元，同比增长453.21%</x:v>
      </x:c>
      <x:c r="M10" s="38" t="str">
        <x:v>已计算</x:v>
      </x:c>
      <x:c r="N10" s="38" t="str">
        <x:v>保留并加入波动口径</x:v>
      </x:c>
      <x:c r="O10" s="38" t="str">
        <x:v>需至少3年数据计算波动。</x:v>
      </x:c>
    </x:row>
    <x:row r="11">
      <x:c r="A11" s="38" t="str">
        <x:v>F2</x:v>
      </x:c>
      <x:c r="B11" s="38" t="str">
        <x:v>商业化与财务</x:v>
      </x:c>
      <x:c r="C11" s="38" t="str">
        <x:v>经营现金流率</x:v>
      </x:c>
      <x:c r="D11" s="56" t="n">
        <x:v>0.06</x:v>
      </x:c>
      <x:c r="E11" s="38" t="str">
        <x:v>连续/正向</x:v>
      </x:c>
      <x:c r="F11" s="38" t="str">
        <x:v>检查利润和营收是否转化为现金。</x:v>
      </x:c>
      <x:c r="G11" s="38" t="str">
        <x:v>经营活动现金流净额÷营业收入。</x:v>
      </x:c>
      <x:c r="H11" s="38" t="str">
        <x:v>越低风险越高；负值为显著预警。</x:v>
      </x:c>
      <x:c r="I11" s="38" t="str">
        <x:v>季/年</x:v>
      </x:c>
      <x:c r="J11" s="38" t="str">
        <x:v>高</x:v>
      </x:c>
      <x:c r="K11" s="38" t="str">
        <x:v>现金流量表</x:v>
      </x:c>
      <x:c r="L11" s="38" t="str">
        <x:v>-4.98亿元/64.97亿元=-7.67%</x:v>
      </x:c>
      <x:c r="M11" s="38" t="str">
        <x:v>已计算</x:v>
      </x:c>
      <x:c r="N11" s="38" t="str">
        <x:v>新增</x:v>
      </x:c>
      <x:c r="O11" s="38" t="str">
        <x:v>受预收、存货和回款节奏影响，需看滚动12个月。</x:v>
      </x:c>
    </x:row>
    <x:row r="12">
      <x:c r="A12" s="38" t="str">
        <x:v>F3</x:v>
      </x:c>
      <x:c r="B12" s="38" t="str">
        <x:v>商业化与财务</x:v>
      </x:c>
      <x:c r="C12" s="38" t="str">
        <x:v>客户集中度（CR1/CR5）</x:v>
      </x:c>
      <x:c r="D12" s="56" t="n">
        <x:v>0.07</x:v>
      </x:c>
      <x:c r="E12" s="38" t="str">
        <x:v>连续/负向</x:v>
      </x:c>
      <x:c r="F12" s="38" t="str">
        <x:v>衡量对少数客户的依赖及议价风险。</x:v>
      </x:c>
      <x:c r="G12" s="38" t="str">
        <x:v>第一大客户销售额÷收入；前五大客户销售额÷收入。</x:v>
      </x:c>
      <x:c r="H12" s="38" t="str">
        <x:v>越高风险越高；结合新增客户和关联交易。</x:v>
      </x:c>
      <x:c r="I12" s="38" t="str">
        <x:v>半年/年</x:v>
      </x:c>
      <x:c r="J12" s="38" t="str">
        <x:v>高</x:v>
      </x:c>
      <x:c r="K12" s="38" t="str">
        <x:v>年报</x:v>
      </x:c>
      <x:c r="L12" s="38" t="str">
        <x:v>CR1=26.21%；CR5=88.66%</x:v>
      </x:c>
      <x:c r="M12" s="38" t="str">
        <x:v>已计算</x:v>
      </x:c>
      <x:c r="N12" s="38" t="str">
        <x:v>新增</x:v>
      </x:c>
      <x:c r="O12" s="38" t="str">
        <x:v>客户名称通常不披露，无法穿透终端用户。</x:v>
      </x:c>
    </x:row>
    <x:row r="13">
      <x:c r="A13" s="38" t="str">
        <x:v>F4</x:v>
      </x:c>
      <x:c r="B13" s="38" t="str">
        <x:v>商业化与财务</x:v>
      </x:c>
      <x:c r="C13" s="38" t="str">
        <x:v>供应商集中度（CR1/CR5）</x:v>
      </x:c>
      <x:c r="D13" s="56" t="n">
        <x:v>0.07</x:v>
      </x:c>
      <x:c r="E13" s="38" t="str">
        <x:v>连续/负向</x:v>
      </x:c>
      <x:c r="F13" s="38" t="str">
        <x:v>用可得的采购集中度代理关键供应链依赖。</x:v>
      </x:c>
      <x:c r="G13" s="38" t="str">
        <x:v>第一大供应商采购额÷采购总额；前五大供应商采购额÷采购总额。</x:v>
      </x:c>
      <x:c r="H13" s="38" t="str">
        <x:v>越高风险越高；CR1&gt;50%通常触发高关注。</x:v>
      </x:c>
      <x:c r="I13" s="38" t="str">
        <x:v>半年/年</x:v>
      </x:c>
      <x:c r="J13" s="38" t="str">
        <x:v>高</x:v>
      </x:c>
      <x:c r="K13" s="38" t="str">
        <x:v>年报</x:v>
      </x:c>
      <x:c r="L13" s="38" t="str">
        <x:v>CR1=55.34%；CR5=75.23%</x:v>
      </x:c>
      <x:c r="M13" s="38" t="str">
        <x:v>已计算</x:v>
      </x:c>
      <x:c r="N13" s="38" t="str">
        <x:v>替换“进口依赖度”</x:v>
      </x:c>
      <x:c r="O13" s="38" t="str">
        <x:v>供应商名称和境内外属性未披露，不能计算进口依赖度。</x:v>
      </x:c>
    </x:row>
    <x:row r="14">
      <x:c r="A14" s="38" t="str">
        <x:v>F5</x:v>
      </x:c>
      <x:c r="B14" s="38" t="str">
        <x:v>商业化与财务</x:v>
      </x:c>
      <x:c r="C14" s="38" t="str">
        <x:v>应收及合同资产集中度</x:v>
      </x:c>
      <x:c r="D14" s="56" t="n">
        <x:v>0.04</x:v>
      </x:c>
      <x:c r="E14" s="38" t="str">
        <x:v>连续/负向</x:v>
      </x:c>
      <x:c r="F14" s="38" t="str">
        <x:v>识别回款风险集中于少数客户的程度。</x:v>
      </x:c>
      <x:c r="G14" s="38" t="str">
        <x:v>前五名客户应收账款及合同资产余额÷相关余额。</x:v>
      </x:c>
      <x:c r="H14" s="38" t="str">
        <x:v>越高风险越高；与客户CR5、账龄和坏账率联动。</x:v>
      </x:c>
      <x:c r="I14" s="38" t="str">
        <x:v>季/年</x:v>
      </x:c>
      <x:c r="J14" s="38" t="str">
        <x:v>高</x:v>
      </x:c>
      <x:c r="K14" s="38" t="str">
        <x:v>财报附注</x:v>
      </x:c>
      <x:c r="L14" s="38" t="str">
        <x:v>前五名余额占比94.09%</x:v>
      </x:c>
      <x:c r="M14" s="38" t="str">
        <x:v>已获取</x:v>
      </x:c>
      <x:c r="N14" s="38" t="str">
        <x:v>新增</x:v>
      </x:c>
      <x:c r="O14" s="38" t="str">
        <x:v>需结合期后回款和客户信用情况。</x:v>
      </x:c>
    </x:row>
    <x:row r="15">
      <x:c r="A15" s="38" t="str">
        <x:v>F6</x:v>
      </x:c>
      <x:c r="B15" s="38" t="str">
        <x:v>商业化与财务</x:v>
      </x:c>
      <x:c r="C15" s="38" t="str">
        <x:v>无形资产与研发资本化风险</x:v>
      </x:c>
      <x:c r="D15" s="56" t="n">
        <x:v>0.04</x:v>
      </x:c>
      <x:c r="E15" s="38" t="str">
        <x:v>连续/负向</x:v>
      </x:c>
      <x:c r="F15" s="38" t="str">
        <x:v>评估技术资产减值或利润资本化调节风险。</x:v>
      </x:c>
      <x:c r="G15" s="38" t="str">
        <x:v>无形资产÷总资产；内部研发形成无形资产占比；开发支出余额；减值额。</x:v>
      </x:c>
      <x:c r="H15" s="38" t="str">
        <x:v>比例、资本化率或减值突升为高风险。</x:v>
      </x:c>
      <x:c r="I15" s="38" t="str">
        <x:v>季/年</x:v>
      </x:c>
      <x:c r="J15" s="38" t="str">
        <x:v>高</x:v>
      </x:c>
      <x:c r="K15" s="38" t="str">
        <x:v>资产负债表及附注</x:v>
      </x:c>
      <x:c r="L15" s="38" t="str">
        <x:v>无形资产/总资产=1.41%；内部研发形成占比0%</x:v>
      </x:c>
      <x:c r="M15" s="38" t="str">
        <x:v>已计算</x:v>
      </x:c>
      <x:c r="N15" s="38" t="str">
        <x:v>重写“无形资产减值风险”</x:v>
      </x:c>
      <x:c r="O15" s="38" t="str">
        <x:v>原口径delta(无形资产/总资产)含义不清。</x:v>
      </x:c>
    </x:row>
    <x:row r="16">
      <x:c r="A16" s="38" t="str">
        <x:v>F7</x:v>
      </x:c>
      <x:c r="B16" s="38" t="str">
        <x:v>商业化与财务</x:v>
      </x:c>
      <x:c r="C16" s="38" t="str">
        <x:v>债务负担与利息覆盖</x:v>
      </x:c>
      <x:c r="D16" s="56" t="n">
        <x:v>0.02</x:v>
      </x:c>
      <x:c r="E16" s="38" t="str">
        <x:v>连续/负向</x:v>
      </x:c>
      <x:c r="F16" s="38" t="str">
        <x:v>在有债务时评估融资负担；无债务时避免强行计算WACC。</x:v>
      </x:c>
      <x:c r="G16" s="38" t="str">
        <x:v>有息金融负债÷总资产；利息支出；EBIT/利息支出。</x:v>
      </x:c>
      <x:c r="H16" s="38" t="str">
        <x:v>债务率高或覆盖倍数低风险高。</x:v>
      </x:c>
      <x:c r="I16" s="38" t="str">
        <x:v>季/年</x:v>
      </x:c>
      <x:c r="J16" s="38" t="str">
        <x:v>高</x:v>
      </x:c>
      <x:c r="K16" s="38" t="str">
        <x:v>财报</x:v>
      </x:c>
      <x:c r="L16" s="38" t="str">
        <x:v>年末短期/长期借款为0；利息支出208.79万元</x:v>
      </x:c>
      <x:c r="M16" s="38" t="str">
        <x:v>已获取</x:v>
      </x:c>
      <x:c r="N16" s="38" t="str">
        <x:v>替换原“融资成本/WACC”</x:v>
      </x:c>
      <x:c r="O16" s="38" t="str">
        <x:v>平均有息负债很小时债务成本率失真。</x:v>
      </x:c>
    </x:row>
    <x:row r="17">
      <x:c r="A17" s="38" t="str">
        <x:v>F8</x:v>
      </x:c>
      <x:c r="B17" s="38" t="str">
        <x:v>商业化与财务</x:v>
      </x:c>
      <x:c r="C17" s="38" t="str">
        <x:v>股权融资稀释与资金依赖</x:v>
      </x:c>
      <x:c r="D17" s="56" t="n">
        <x:v>0.03</x:v>
      </x:c>
      <x:c r="E17" s="38" t="str">
        <x:v>连续/负向</x:v>
      </x:c>
      <x:c r="F17" s="38" t="str">
        <x:v>识别依赖增发融资造成的股本稀释和募资依赖。</x:v>
      </x:c>
      <x:c r="G17" s="38" t="str">
        <x:v>新增融资股份÷发行前总股本；近3年募资次数/金额；募资用途变更。</x:v>
      </x:c>
      <x:c r="H17" s="38" t="str">
        <x:v>稀释率、频次或用途变更越高风险越高。</x:v>
      </x:c>
      <x:c r="I17" s="38" t="str">
        <x:v>季/年</x:v>
      </x:c>
      <x:c r="J17" s="38" t="str">
        <x:v>高</x:v>
      </x:c>
      <x:c r="K17" s="38" t="str">
        <x:v>发行公告、年报</x:v>
      </x:c>
      <x:c r="L17" s="38" t="str">
        <x:v>定增3,334,946股/发行前418,350,224股=0.80%</x:v>
      </x:c>
      <x:c r="M17" s="38" t="str">
        <x:v>已计算</x:v>
      </x:c>
      <x:c r="N17" s="38" t="str">
        <x:v>从“股权稀释”拆出融资维度</x:v>
      </x:c>
      <x:c r="O17" s="38" t="str">
        <x:v>股权激励导致的稀释应单列。</x:v>
      </x:c>
    </x:row>
    <x:row r="18">
      <x:c r="A18" s="38" t="str">
        <x:v>G1</x:v>
      </x:c>
      <x:c r="B18" s="38" t="str">
        <x:v>合规与治理</x:v>
      </x:c>
      <x:c r="C18" s="38" t="str">
        <x:v>监管处罚及纪律处分</x:v>
      </x:c>
      <x:c r="D18" s="56" t="n">
        <x:v>0.05</x:v>
      </x:c>
      <x:c r="E18" s="38" t="str">
        <x:v>事件/负向</x:v>
      </x:c>
      <x:c r="F18" s="38" t="str">
        <x:v>统计证监、交易所及行业监管处罚、纪律处分。</x:v>
      </x:c>
      <x:c r="G18" s="38" t="str">
        <x:v>滚动12个月/36个月事件数；按处罚严重性加权。</x:v>
      </x:c>
      <x:c r="H18" s="38" t="str">
        <x:v>事件越多、越严重风险越高；重大处罚触发红旗。</x:v>
      </x:c>
      <x:c r="I18" s="38" t="str">
        <x:v>日/周</x:v>
      </x:c>
      <x:c r="J18" s="38" t="str">
        <x:v>高</x:v>
      </x:c>
      <x:c r="K18" s="38" t="str">
        <x:v>证监会、交易所、信用中国、年报</x:v>
      </x:c>
      <x:c r="L18" s="38" t="str">
        <x:v>年报披露近三年无证券监管机构处罚</x:v>
      </x:c>
      <x:c r="M18" s="38" t="str">
        <x:v>已获取</x:v>
      </x:c>
      <x:c r="N18" s="38" t="str">
        <x:v>保留并扩大监管范围</x:v>
      </x:c>
      <x:c r="O18" s="38" t="str">
        <x:v>行业监管处罚需跨库检索。</x:v>
      </x:c>
    </x:row>
    <x:row r="19">
      <x:c r="A19" s="38" t="str">
        <x:v>G2</x:v>
      </x:c>
      <x:c r="B19" s="38" t="str">
        <x:v>合规与治理</x:v>
      </x:c>
      <x:c r="C19" s="38" t="str">
        <x:v>交易所问询与监管措施</x:v>
      </x:c>
      <x:c r="D19" s="56" t="n">
        <x:v>0.03</x:v>
      </x:c>
      <x:c r="E19" s="38" t="str">
        <x:v>事件/负向</x:v>
      </x:c>
      <x:c r="F19" s="38" t="str">
        <x:v>衡量信息披露受到的非处罚性监管关注。</x:v>
      </x:c>
      <x:c r="G19" s="38" t="str">
        <x:v>季度/年度问询函、监管工作函和监管措施次数，按类型分层。</x:v>
      </x:c>
      <x:c r="H19" s="38" t="str">
        <x:v>频次和严重性越高风险越高。</x:v>
      </x:c>
      <x:c r="I19" s="38" t="str">
        <x:v>日/周</x:v>
      </x:c>
      <x:c r="J19" s="38" t="str">
        <x:v>中</x:v>
      </x:c>
      <x:c r="K19" s="38" t="str">
        <x:v>上交所监管问询/监管措施栏目</x:v>
      </x:c>
      <x:c r="L19" s="38" t="str">
        <x:v>年报不直接汇总；需上交所结构化检索</x:v>
      </x:c>
      <x:c r="M19" s="38" t="str">
        <x:v>待外部核验</x:v>
      </x:c>
      <x:c r="N19" s="38" t="str">
        <x:v>保留但不从年报推断为0</x:v>
      </x:c>
      <x:c r="O19" s="38" t="str">
        <x:v>搜索引擎“未检出”不能替代交易所数据库结果。</x:v>
      </x:c>
    </x:row>
    <x:row r="20">
      <x:c r="A20" s="38" t="str">
        <x:v>G3</x:v>
      </x:c>
      <x:c r="B20" s="38" t="str">
        <x:v>合规与治理</x:v>
      </x:c>
      <x:c r="C20" s="38" t="str">
        <x:v>重大诉讼与或有事项</x:v>
      </x:c>
      <x:c r="D20" s="56" t="n">
        <x:v>0.05</x:v>
      </x:c>
      <x:c r="E20" s="38" t="str">
        <x:v>事件/负向</x:v>
      </x:c>
      <x:c r="F20" s="38" t="str">
        <x:v>衡量被诉金额、案件阶段及潜在损失。</x:v>
      </x:c>
      <x:c r="G20" s="38" t="str">
        <x:v>被诉/请求金额÷营业收入；案件数；预计负债；案件阶段。</x:v>
      </x:c>
      <x:c r="H20" s="38" t="str">
        <x:v>比例越高、败诉可能性越高风险越高。</x:v>
      </x:c>
      <x:c r="I20" s="38" t="str">
        <x:v>日/季</x:v>
      </x:c>
      <x:c r="J20" s="38" t="str">
        <x:v>高</x:v>
      </x:c>
      <x:c r="K20" s="38" t="str">
        <x:v>年报、重大事项公告、裁判文书</x:v>
      </x:c>
      <x:c r="L20" s="38" t="str">
        <x:v>梁军劳动争议请求42.87亿元，约为收入65.97%；尚未开庭</x:v>
      </x:c>
      <x:c r="M20" s="38" t="str">
        <x:v>已计算</x:v>
      </x:c>
      <x:c r="N20" s="38" t="str">
        <x:v>保留并强化金额口径</x:v>
      </x:c>
      <x:c r="O20" s="38" t="str">
        <x:v>诉讼请求额不等于最终损失。</x:v>
      </x:c>
    </x:row>
    <x:row r="21">
      <x:c r="A21" s="38" t="str">
        <x:v>G4</x:v>
      </x:c>
      <x:c r="B21" s="38" t="str">
        <x:v>合规与治理</x:v>
      </x:c>
      <x:c r="C21" s="38" t="str">
        <x:v>控制权、质押与治理稳定</x:v>
      </x:c>
      <x:c r="D21" s="56" t="n">
        <x:v>0.04</x:v>
      </x:c>
      <x:c r="E21" s="38" t="str">
        <x:v>事件+连续/负向</x:v>
      </x:c>
      <x:c r="F21" s="38" t="str">
        <x:v>衡量实控人控制基础、股份质押/冻结和控制权变动。</x:v>
      </x:c>
      <x:c r="G21" s="38" t="str">
        <x:v>实控人及其控制主体合计表决权；年度变化；质押/冻结比例。</x:v>
      </x:c>
      <x:c r="H21" s="38" t="str">
        <x:v>控制权下滑、质押高或争议触发高风险。</x:v>
      </x:c>
      <x:c r="I21" s="38" t="str">
        <x:v>季/年</x:v>
      </x:c>
      <x:c r="J21" s="38" t="str">
        <x:v>高</x:v>
      </x:c>
      <x:c r="K21" s="38" t="str">
        <x:v>年报、权益变动公告</x:v>
      </x:c>
      <x:c r="L21" s="38" t="str">
        <x:v>陈天石28.35%+其控制的艾溪7.27%=35.62%；主要持股无质押</x:v>
      </x:c>
      <x:c r="M21" s="38" t="str">
        <x:v>已计算</x:v>
      </x:c>
      <x:c r="N21" s="38" t="str">
        <x:v>替换“低于34%一票否决”简化阈值</x:v>
      </x:c>
      <x:c r="O21" s="38" t="str">
        <x:v>控制权判断应依据一致行动、章程和实际支配，不机械套34%。</x:v>
      </x:c>
    </x:row>
    <x:row r="22">
      <x:c r="A22" s="38" t="str">
        <x:v>G5</x:v>
      </x:c>
      <x:c r="B22" s="38" t="str">
        <x:v>合规与治理</x:v>
      </x:c>
      <x:c r="C22" s="38" t="str">
        <x:v>核心技术人员/关键高管稳定性</x:v>
      </x:c>
      <x:c r="D22" s="56" t="n">
        <x:v>0.03</x:v>
      </x:c>
      <x:c r="E22" s="38" t="str">
        <x:v>事件/负向</x:v>
      </x:c>
      <x:c r="F22" s="38" t="str">
        <x:v>识别核心团队离职、非正常变动和关键人依赖。</x:v>
      </x:c>
      <x:c r="G22" s="38" t="str">
        <x:v>核心技术人员期内离职数÷期初人数；关键岗位变动事件。</x:v>
      </x:c>
      <x:c r="H22" s="38" t="str">
        <x:v>流失率或非正常变动越高风险越高。</x:v>
      </x:c>
      <x:c r="I22" s="38" t="str">
        <x:v>季/年</x:v>
      </x:c>
      <x:c r="J22" s="38" t="str">
        <x:v>高</x:v>
      </x:c>
      <x:c r="K22" s="38" t="str">
        <x:v>年报、公告</x:v>
      </x:c>
      <x:c r="L22" s="38" t="str">
        <x:v>2025年披露的变动均为独立董事换届，未见核心技术人员离任</x:v>
      </x:c>
      <x:c r="M22" s="38" t="str">
        <x:v>已获取</x:v>
      </x:c>
      <x:c r="N22" s="38" t="str">
        <x:v>保留；高管关联风险移至尽调</x:v>
      </x:c>
      <x:c r="O22" s="38" t="str">
        <x:v>核心人员认定口径随公司披露变化。</x:v>
      </x:c>
    </x:row>
    <x:row r="23">
      <x:c r="A23" s="38" t="str">
        <x:v>E1</x:v>
      </x:c>
      <x:c r="B23" s="38" t="str">
        <x:v>外部环境</x:v>
      </x:c>
      <x:c r="C23" s="38" t="str">
        <x:v>出口管制/制裁清单命中</x:v>
      </x:c>
      <x:c r="D23" s="56" t="n">
        <x:v>0.1</x:v>
      </x:c>
      <x:c r="E23" s="38" t="str">
        <x:v>红旗/负向</x:v>
      </x:c>
      <x:c r="F23" s="38" t="str">
        <x:v>识别企业及关键子公司是否命中BIS等限制清单。</x:v>
      </x:c>
      <x:c r="G23" s="38" t="str">
        <x:v>按主体精确匹配名称/地址/别名；记录清单、日期、许可政策和状态。</x:v>
      </x:c>
      <x:c r="H23" s="38" t="str">
        <x:v>在册命中即高关注；重大限制可覆盖普通得分。</x:v>
      </x:c>
      <x:c r="I23" s="38" t="str">
        <x:v>日/周</x:v>
      </x:c>
      <x:c r="J23" s="38" t="str">
        <x:v>高</x:v>
      </x:c>
      <x:c r="K23" s="38" t="str">
        <x:v>BIS等官方清单；年报</x:v>
      </x:c>
      <x:c r="L23" s="38" t="str">
        <x:v>BIS公开条目命中公司及多家关联主体</x:v>
      </x:c>
      <x:c r="M23" s="38" t="str">
        <x:v>已核验</x:v>
      </x:c>
      <x:c r="N23" s="38" t="str">
        <x:v>保留清单命中；删除不可得的“受管制技术占比”</x:v>
      </x:c>
      <x:c r="O23" s="38" t="str">
        <x:v>影响比例需BOM、技术许可和交易数据。</x:v>
      </x:c>
    </x:row>
    <x:row r="24">
      <x:c r="A24" s="39" t="str">
        <x:v>E2</x:v>
      </x:c>
      <x:c r="B24" s="39" t="str">
        <x:v>外部环境</x:v>
      </x:c>
      <x:c r="C24" s="39" t="str">
        <x:v>海外收入暴露度</x:v>
      </x:c>
      <x:c r="D24" s="57" t="n">
        <x:v>0.02</x:v>
      </x:c>
      <x:c r="E24" s="39" t="str">
        <x:v>连续/负向</x:v>
      </x:c>
      <x:c r="F24" s="39" t="str">
        <x:v>衡量海外市场收入对地缘政治和汇率冲击的暴露。</x:v>
      </x:c>
      <x:c r="G24" s="39" t="str">
        <x:v>境外收入÷总收入；并记录主要地区集中度。</x:v>
      </x:c>
      <x:c r="H24" s="39" t="str">
        <x:v>占比越高通常风险越高，但应与清单/市场多元化结合。</x:v>
      </x:c>
      <x:c r="I24" s="39" t="str">
        <x:v>半年/年</x:v>
      </x:c>
      <x:c r="J24" s="39" t="str">
        <x:v>高</x:v>
      </x:c>
      <x:c r="K24" s="39" t="str">
        <x:v>年报</x:v>
      </x:c>
      <x:c r="L24" s="39" t="str">
        <x:v>67,082.35元/64.97亿元=0.0010%</x:v>
      </x:c>
      <x:c r="M24" s="39" t="str">
        <x:v>已计算</x:v>
      </x:c>
      <x:c r="N24" s="39" t="str">
        <x:v>保留</x:v>
      </x:c>
      <x:c r="O24" s="39" t="str">
        <x:v>低海外收入不代表供应链进口风险低。</x:v>
      </x:c>
    </x:row>
    <x:row r="25">
      <x:c r="A25" s="74" t="str">
        <x:v>核心指标权重合计</x:v>
      </x:c>
      <x:c r="B25" s="74" t="str">
        <x:v>核心指标权重合计</x:v>
      </x:c>
      <x:c r="C25" s="74" t="str">
        <x:v>核心指标权重合计</x:v>
      </x:c>
      <x:c r="D25" s="75" t="n">
        <x:f>SUM(D5:D24)</x:f>
        <x:v>1.0000000000000002</x:v>
      </x:c>
      <x:c r="E25" s="74" t="str">
        <x:v>校验目标：100%</x:v>
      </x:c>
      <x:c r="F25" s="74" t="str">
        <x:v>校验目标：100%</x:v>
      </x:c>
      <x:c r="G25" s="74" t="str">
        <x:v>校验目标：100%</x:v>
      </x:c>
      <x:c r="H25" s="74" t="str">
        <x:v>校验目标：100%</x:v>
      </x:c>
      <x:c r="I25" s="74" t="str">
        <x:v>校验目标：100%</x:v>
      </x:c>
      <x:c r="J25" s="74" t="str">
        <x:v>校验目标：100%</x:v>
      </x:c>
      <x:c r="K25" s="74" t="str">
        <x:v>校验目标：100%</x:v>
      </x:c>
      <x:c r="L25" s="74" t="str">
        <x:v>校验目标：100%</x:v>
      </x:c>
      <x:c r="M25" s="74" t="str">
        <x:v>校验目标：100%</x:v>
      </x:c>
      <x:c r="N25" s="74" t="str">
        <x:v>校验目标：100%</x:v>
      </x:c>
      <x:c r="O25" s="74" t="str">
        <x:v>校验目标：100%</x:v>
      </x:c>
    </x:row>
    <x:row r="26">
      <x:c r="A26" s="76"/>
      <x:c r="B26" s="76"/>
      <x:c r="C26" s="76"/>
      <x:c r="D26" s="76"/>
      <x:c r="E26" s="76"/>
      <x:c r="F26" s="76"/>
      <x:c r="G26" s="76"/>
      <x:c r="H26" s="76"/>
      <x:c r="I26" s="76"/>
      <x:c r="J26" s="76"/>
      <x:c r="K26" s="76"/>
      <x:c r="L26" s="76"/>
      <x:c r="M26" s="76"/>
      <x:c r="N26" s="76"/>
      <x:c r="O26" s="76"/>
    </x:row>
    <x:row r="27">
      <x:c r="A27" s="76"/>
      <x:c r="B27" s="76"/>
      <x:c r="C27" s="76"/>
      <x:c r="D27" s="76"/>
      <x:c r="E27" s="76"/>
      <x:c r="F27" s="76"/>
      <x:c r="G27" s="76"/>
      <x:c r="H27" s="76"/>
      <x:c r="I27" s="76"/>
      <x:c r="J27" s="76"/>
      <x:c r="K27" s="76"/>
      <x:c r="L27" s="76"/>
      <x:c r="M27" s="76"/>
      <x:c r="N27" s="76"/>
      <x:c r="O27" s="76"/>
    </x:row>
    <x:row r="28" ht="24" customHeight="1">
      <x:c r="A28" s="77" t="str">
        <x:v>非加权叙事监测层（不进入100%权重）</x:v>
      </x:c>
      <x:c r="B28" s="77" t="str">
        <x:v>非加权叙事监测层（不进入100%权重）</x:v>
      </x:c>
      <x:c r="C28" s="77" t="str">
        <x:v>非加权叙事监测层（不进入100%权重）</x:v>
      </x:c>
      <x:c r="D28" s="77" t="str">
        <x:v>非加权叙事监测层（不进入100%权重）</x:v>
      </x:c>
      <x:c r="E28" s="77" t="str">
        <x:v>非加权叙事监测层（不进入100%权重）</x:v>
      </x:c>
      <x:c r="F28" s="77" t="str">
        <x:v>非加权叙事监测层（不进入100%权重）</x:v>
      </x:c>
      <x:c r="G28" s="77" t="str">
        <x:v>非加权叙事监测层（不进入100%权重）</x:v>
      </x:c>
      <x:c r="H28" s="77" t="str">
        <x:v>非加权叙事监测层（不进入100%权重）</x:v>
      </x:c>
      <x:c r="I28" s="77" t="str">
        <x:v>非加权叙事监测层（不进入100%权重）</x:v>
      </x:c>
      <x:c r="J28" s="77" t="str">
        <x:v>非加权叙事监测层（不进入100%权重）</x:v>
      </x:c>
      <x:c r="K28" s="77" t="str">
        <x:v>非加权叙事监测层（不进入100%权重）</x:v>
      </x:c>
      <x:c r="L28" s="77" t="str">
        <x:v>非加权叙事监测层（不进入100%权重）</x:v>
      </x:c>
      <x:c r="M28" s="77" t="str">
        <x:v>非加权叙事监测层（不进入100%权重）</x:v>
      </x:c>
      <x:c r="N28" s="77" t="str">
        <x:v>非加权叙事监测层（不进入100%权重）</x:v>
      </x:c>
      <x:c r="O28" s="77" t="str">
        <x:v>非加权叙事监测层（不进入100%权重）</x:v>
      </x:c>
    </x:row>
    <x:row r="29" ht="34" customHeight="1">
      <x:c r="A29" s="73" t="str">
        <x:v>编号</x:v>
      </x:c>
      <x:c r="B29" s="73" t="str">
        <x:v>一级维度</x:v>
      </x:c>
      <x:c r="C29" s="73" t="str">
        <x:v>二级指标</x:v>
      </x:c>
      <x:c r="D29" s="73" t="str">
        <x:v>权重</x:v>
      </x:c>
      <x:c r="E29" s="73" t="str">
        <x:v>属性</x:v>
      </x:c>
      <x:c r="F29" s="73" t="str">
        <x:v>核心定义</x:v>
      </x:c>
      <x:c r="G29" s="73" t="str">
        <x:v>计算口径</x:v>
      </x:c>
      <x:c r="H29" s="73" t="str">
        <x:v>风险方向/建议评分</x:v>
      </x:c>
      <x:c r="I29" s="73" t="str">
        <x:v>更新频率</x:v>
      </x:c>
      <x:c r="J29" s="73" t="str">
        <x:v>可获取性</x:v>
      </x:c>
      <x:c r="K29" s="73" t="str">
        <x:v>主要公开来源</x:v>
      </x:c>
      <x:c r="L29" s="73" t="str">
        <x:v>寒武纪2025样例</x:v>
      </x:c>
      <x:c r="M29" s="73" t="str">
        <x:v>样例状态</x:v>
      </x:c>
      <x:c r="N29" s="73" t="str">
        <x:v>原表处理</x:v>
      </x:c>
      <x:c r="O29" s="73" t="str">
        <x:v>数据缺口/备注</x:v>
      </x:c>
    </x:row>
    <x:row r="30">
      <x:c r="A30" s="37" t="str">
        <x:v>N1</x:v>
      </x:c>
      <x:c r="B30" s="37" t="str">
        <x:v>叙事监测</x:v>
      </x:c>
      <x:c r="C30" s="37" t="str">
        <x:v>叙事热度—基本面背离</x:v>
      </x:c>
      <x:c r="D30" s="37" t="str"/>
      <x:c r="E30" s="37" t="str">
        <x:v>监测</x:v>
      </x:c>
      <x:c r="F30" s="37" t="str">
        <x:v>媒体/互动平台叙事增速相对收入增速的异常。</x:v>
      </x:c>
      <x:c r="G30" s="37" t="str">
        <x:v>DTQ热度变化-收入同比；分平台保存原始计数。</x:v>
      </x:c>
      <x:c r="H30" s="37" t="str">
        <x:v>仅作预警，不计总分。</x:v>
      </x:c>
      <x:c r="I30" s="37" t="str">
        <x:v>月/季</x:v>
      </x:c>
      <x:c r="J30" s="37" t="str">
        <x:v>中</x:v>
      </x:c>
      <x:c r="K30" s="37" t="str">
        <x:v>上证e互动、新闻库</x:v>
      </x:c>
      <x:c r="L30" s="37" t="str">
        <x:v>可抓取，但需稳定新闻语料</x:v>
      </x:c>
      <x:c r="M30" s="37" t="str">
        <x:v>需建语料库</x:v>
      </x:c>
      <x:c r="N30" s="37" t="str">
        <x:v>保留为非加权</x:v>
      </x:c>
      <x:c r="O30" s="37" t="str">
        <x:v>搜索引擎覆盖和重复新闻会改变结果。</x:v>
      </x:c>
    </x:row>
    <x:row r="31">
      <x:c r="A31" s="38" t="str">
        <x:v>N2</x:v>
      </x:c>
      <x:c r="B31" s="38" t="str">
        <x:v>叙事监测</x:v>
      </x:c>
      <x:c r="C31" s="38" t="str">
        <x:v>自述—第三方表述偏差</x:v>
      </x:c>
      <x:c r="D31" s="38" t="str"/>
      <x:c r="E31" s="38" t="str">
        <x:v>监测</x:v>
      </x:c>
      <x:c r="F31" s="38" t="str">
        <x:v>比较公司披露与第三方材料中夸张性/确定性语言。</x:v>
      </x:c>
      <x:c r="G31" s="38" t="str">
        <x:v>固定词典+固定语料范围+人工抽检；不得只依赖LLM单次判断。</x:v>
      </x:c>
      <x:c r="H31" s="38" t="str">
        <x:v>偏差扩大触发复核。</x:v>
      </x:c>
      <x:c r="I31" s="38" t="str">
        <x:v>季</x:v>
      </x:c>
      <x:c r="J31" s="38" t="str">
        <x:v>中低</x:v>
      </x:c>
      <x:c r="K31" s="38" t="str">
        <x:v>公告、研报、媒体</x:v>
      </x:c>
      <x:c r="L31" s="38" t="str">
        <x:v>可做文本分析，无统一客观基准</x:v>
      </x:c>
      <x:c r="M31" s="38" t="str">
        <x:v>未量化</x:v>
      </x:c>
      <x:c r="N31" s="38" t="str">
        <x:v>保留为非加权</x:v>
      </x:c>
      <x:c r="O31" s="38" t="str">
        <x:v>第三方语料付费且观点并非事实真值。</x:v>
      </x:c>
    </x:row>
    <x:row r="32">
      <x:c r="A32" s="38" t="str">
        <x:v>N3</x:v>
      </x:c>
      <x:c r="B32" s="38" t="str">
        <x:v>叙事监测</x:v>
      </x:c>
      <x:c r="C32" s="38" t="str">
        <x:v>自身评价一致性</x:v>
      </x:c>
      <x:c r="D32" s="38" t="str"/>
      <x:c r="E32" s="38" t="str">
        <x:v>监测</x:v>
      </x:c>
      <x:c r="F32" s="38" t="str">
        <x:v>跟踪关键技术/市场表述的跨期变化。</x:v>
      </x:c>
      <x:c r="G32" s="38" t="str">
        <x:v>固定章节语义相似度+重大表述变更人工标记。</x:v>
      </x:c>
      <x:c r="H32" s="38" t="str">
        <x:v>重大前后矛盾触发复核。</x:v>
      </x:c>
      <x:c r="I32" s="38" t="str">
        <x:v>季/年</x:v>
      </x:c>
      <x:c r="J32" s="38" t="str">
        <x:v>中</x:v>
      </x:c>
      <x:c r="K32" s="38" t="str">
        <x:v>定期报告、问询回复</x:v>
      </x:c>
      <x:c r="L32" s="38" t="str">
        <x:v>公开文件可获取</x:v>
      </x:c>
      <x:c r="M32" s="38" t="str">
        <x:v>可计算</x:v>
      </x:c>
      <x:c r="N32" s="38" t="str">
        <x:v>保留为非加权</x:v>
      </x:c>
      <x:c r="O32" s="38" t="str">
        <x:v>产品迭代会带来合理文本变化。</x:v>
      </x:c>
    </x:row>
    <x:row r="33">
      <x:c r="A33" s="38" t="str">
        <x:v>N4</x:v>
      </x:c>
      <x:c r="B33" s="38" t="str">
        <x:v>叙事监测</x:v>
      </x:c>
      <x:c r="C33" s="38" t="str">
        <x:v>概念标签—收入映射覆盖</x:v>
      </x:c>
      <x:c r="D33" s="38" t="str"/>
      <x:c r="E33" s="38" t="str">
        <x:v>监测</x:v>
      </x:c>
      <x:c r="F33" s="38" t="str">
        <x:v>检查热门概念是否能映射到披露的产品/收入。</x:v>
      </x:c>
      <x:c r="G33" s="38" t="str">
        <x:v>可映射概念收入÷相关概念宣称总量；若分部不披露则标NA。</x:v>
      </x:c>
      <x:c r="H33" s="38" t="str">
        <x:v>无法映射或占比极低触发提示。</x:v>
      </x:c>
      <x:c r="I33" s="38" t="str">
        <x:v>半年/年</x:v>
      </x:c>
      <x:c r="J33" s="38" t="str">
        <x:v>低</x:v>
      </x:c>
      <x:c r="K33" s="38" t="str">
        <x:v>年报、互动问答</x:v>
      </x:c>
      <x:c r="L33" s="38" t="str">
        <x:v>寒武纪按产品披露，热门概念收入通常不可拆</x:v>
      </x:c>
      <x:c r="M33" s="38" t="str">
        <x:v>不可稳定计算</x:v>
      </x:c>
      <x:c r="N33" s="38" t="str">
        <x:v>从核心评分移出</x:v>
      </x:c>
      <x:c r="O33" s="38" t="str">
        <x:v>不可用“未披露”直接判定为0收入。</x:v>
      </x:c>
    </x:row>
    <x:row r="34">
      <x:c r="A34" s="39" t="str">
        <x:v>N5</x:v>
      </x:c>
      <x:c r="B34" s="39" t="str">
        <x:v>叙事监测</x:v>
      </x:c>
      <x:c r="C34" s="39" t="str">
        <x:v>技术风险关键词密度</x:v>
      </x:c>
      <x:c r="D34" s="39" t="str"/>
      <x:c r="E34" s="39" t="str">
        <x:v>监测</x:v>
      </x:c>
      <x:c r="F34" s="39" t="str">
        <x:v>跟踪年报对技术安全、供应链、质量等风险的披露变化。</x:v>
      </x:c>
      <x:c r="G34" s="39" t="str">
        <x:v>固定词典命中数/万字；按章节和重大性人工校准。</x:v>
      </x:c>
      <x:c r="H34" s="39" t="str">
        <x:v>密度突升或新增重大词项触发复核。</x:v>
      </x:c>
      <x:c r="I34" s="39" t="str">
        <x:v>年</x:v>
      </x:c>
      <x:c r="J34" s="39" t="str">
        <x:v>高</x:v>
      </x:c>
      <x:c r="K34" s="39" t="str">
        <x:v>年报风险因素</x:v>
      </x:c>
      <x:c r="L34" s="39" t="str">
        <x:v>全文可获取</x:v>
      </x:c>
      <x:c r="M34" s="39" t="str">
        <x:v>可计算</x:v>
      </x:c>
      <x:c r="N34" s="39" t="str">
        <x:v>保留为非加权</x:v>
      </x:c>
      <x:c r="O34" s="39" t="str">
        <x:v>披露更充分可能导致密度更高，不等同真实风险更差。</x:v>
      </x:c>
    </x:row>
    <x:row r="35">
      <x:c r="A35" s="76"/>
      <x:c r="B35" s="76"/>
      <x:c r="C35" s="76"/>
      <x:c r="D35" s="76"/>
      <x:c r="E35" s="76"/>
      <x:c r="F35" s="76"/>
      <x:c r="G35" s="76"/>
      <x:c r="H35" s="76"/>
      <x:c r="I35" s="76"/>
      <x:c r="J35" s="76"/>
      <x:c r="K35" s="76"/>
      <x:c r="L35" s="76"/>
      <x:c r="M35" s="76"/>
      <x:c r="N35" s="76"/>
      <x:c r="O35" s="76"/>
    </x:row>
    <x:row r="36">
      <x:c r="A36" s="76"/>
      <x:c r="B36" s="76"/>
      <x:c r="C36" s="76"/>
      <x:c r="D36" s="76"/>
      <x:c r="E36" s="76"/>
      <x:c r="F36" s="76"/>
      <x:c r="G36" s="76"/>
      <x:c r="H36" s="76"/>
      <x:c r="I36" s="76"/>
      <x:c r="J36" s="76"/>
      <x:c r="K36" s="76"/>
      <x:c r="L36" s="76"/>
      <x:c r="M36" s="76"/>
      <x:c r="N36" s="76"/>
      <x:c r="O36" s="76"/>
    </x:row>
    <x:row r="37" ht="24" customHeight="1">
      <x:c r="A37" s="78" t="str">
        <x:v>红旗覆盖与现场尽调层（公开信息不足时不得硬算）</x:v>
      </x:c>
      <x:c r="B37" s="78" t="str">
        <x:v>红旗覆盖与现场尽调层（公开信息不足时不得硬算）</x:v>
      </x:c>
      <x:c r="C37" s="78" t="str">
        <x:v>红旗覆盖与现场尽调层（公开信息不足时不得硬算）</x:v>
      </x:c>
      <x:c r="D37" s="78" t="str">
        <x:v>红旗覆盖与现场尽调层（公开信息不足时不得硬算）</x:v>
      </x:c>
      <x:c r="E37" s="78" t="str">
        <x:v>红旗覆盖与现场尽调层（公开信息不足时不得硬算）</x:v>
      </x:c>
      <x:c r="F37" s="78" t="str">
        <x:v>红旗覆盖与现场尽调层（公开信息不足时不得硬算）</x:v>
      </x:c>
      <x:c r="G37" s="78" t="str">
        <x:v>红旗覆盖与现场尽调层（公开信息不足时不得硬算）</x:v>
      </x:c>
      <x:c r="H37" s="78" t="str">
        <x:v>红旗覆盖与现场尽调层（公开信息不足时不得硬算）</x:v>
      </x:c>
      <x:c r="I37" s="78" t="str">
        <x:v>红旗覆盖与现场尽调层（公开信息不足时不得硬算）</x:v>
      </x:c>
      <x:c r="J37" s="78" t="str">
        <x:v>红旗覆盖与现场尽调层（公开信息不足时不得硬算）</x:v>
      </x:c>
      <x:c r="K37" s="78" t="str">
        <x:v>红旗覆盖与现场尽调层（公开信息不足时不得硬算）</x:v>
      </x:c>
      <x:c r="L37" s="78" t="str">
        <x:v>红旗覆盖与现场尽调层（公开信息不足时不得硬算）</x:v>
      </x:c>
      <x:c r="M37" s="78" t="str">
        <x:v>红旗覆盖与现场尽调层（公开信息不足时不得硬算）</x:v>
      </x:c>
      <x:c r="N37" s="78" t="str">
        <x:v>红旗覆盖与现场尽调层（公开信息不足时不得硬算）</x:v>
      </x:c>
      <x:c r="O37" s="78" t="str">
        <x:v>红旗覆盖与现场尽调层（公开信息不足时不得硬算）</x:v>
      </x:c>
    </x:row>
    <x:row r="38" ht="34" customHeight="1">
      <x:c r="A38" s="73" t="str">
        <x:v>编号</x:v>
      </x:c>
      <x:c r="B38" s="73" t="str">
        <x:v>一级维度</x:v>
      </x:c>
      <x:c r="C38" s="73" t="str">
        <x:v>二级指标</x:v>
      </x:c>
      <x:c r="D38" s="73" t="str">
        <x:v>权重</x:v>
      </x:c>
      <x:c r="E38" s="73" t="str">
        <x:v>属性</x:v>
      </x:c>
      <x:c r="F38" s="73" t="str">
        <x:v>核心定义</x:v>
      </x:c>
      <x:c r="G38" s="73" t="str">
        <x:v>计算口径</x:v>
      </x:c>
      <x:c r="H38" s="73" t="str">
        <x:v>风险方向/建议评分</x:v>
      </x:c>
      <x:c r="I38" s="73" t="str">
        <x:v>更新频率</x:v>
      </x:c>
      <x:c r="J38" s="73" t="str">
        <x:v>可获取性</x:v>
      </x:c>
      <x:c r="K38" s="73" t="str">
        <x:v>主要公开来源</x:v>
      </x:c>
      <x:c r="L38" s="73" t="str">
        <x:v>寒武纪2025样例</x:v>
      </x:c>
      <x:c r="M38" s="73" t="str">
        <x:v>样例状态</x:v>
      </x:c>
      <x:c r="N38" s="73" t="str">
        <x:v>原表处理</x:v>
      </x:c>
      <x:c r="O38" s="73" t="str">
        <x:v>数据缺口/备注</x:v>
      </x:c>
    </x:row>
    <x:row r="39">
      <x:c r="A39" s="37" t="str">
        <x:v>R1</x:v>
      </x:c>
      <x:c r="B39" s="37" t="str">
        <x:v>红旗覆盖</x:v>
      </x:c>
      <x:c r="C39" s="37" t="str">
        <x:v>重大制裁/出口限制</x:v>
      </x:c>
      <x:c r="D39" s="37" t="str"/>
      <x:c r="E39" s="37" t="str">
        <x:v>红旗</x:v>
      </x:c>
      <x:c r="F39" s="37" t="str">
        <x:v>公司或关键主体处于严格许可/拒绝政策清单。</x:v>
      </x:c>
      <x:c r="G39" s="37" t="str">
        <x:v>官方清单精确命中+状态复核。</x:v>
      </x:c>
      <x:c r="H39" s="37" t="str">
        <x:v>命中可将外部环境维度直接判高风险。</x:v>
      </x:c>
      <x:c r="I39" s="37" t="str">
        <x:v>日/周</x:v>
      </x:c>
      <x:c r="J39" s="37" t="str">
        <x:v>高</x:v>
      </x:c>
      <x:c r="K39" s="37" t="str">
        <x:v>BIS等官方清单</x:v>
      </x:c>
      <x:c r="L39" s="37" t="str">
        <x:v>已命中</x:v>
      </x:c>
      <x:c r="M39" s="37" t="str">
        <x:v>红旗</x:v>
      </x:c>
      <x:c r="N39" s="37" t="str">
        <x:v>强化原指标</x:v>
      </x:c>
      <x:c r="O39" s="37" t="str">
        <x:v>需持续核对清单变更和主体别名。</x:v>
      </x:c>
    </x:row>
    <x:row r="40">
      <x:c r="A40" s="38" t="str">
        <x:v>R2</x:v>
      </x:c>
      <x:c r="B40" s="38" t="str">
        <x:v>红旗覆盖</x:v>
      </x:c>
      <x:c r="C40" s="38" t="str">
        <x:v>重大监管处罚/财务舞弊</x:v>
      </x:c>
      <x:c r="D40" s="38" t="str"/>
      <x:c r="E40" s="38" t="str">
        <x:v>红旗</x:v>
      </x:c>
      <x:c r="F40" s="38" t="str">
        <x:v>重大违法、强制退市或财务造假等事件。</x:v>
      </x:c>
      <x:c r="G40" s="38" t="str">
        <x:v>按监管结论，不以媒体传言定性。</x:v>
      </x:c>
      <x:c r="H40" s="38" t="str">
        <x:v>触发整体高风险。</x:v>
      </x:c>
      <x:c r="I40" s="38" t="str">
        <x:v>实时</x:v>
      </x:c>
      <x:c r="J40" s="38" t="str">
        <x:v>高</x:v>
      </x:c>
      <x:c r="K40" s="38" t="str">
        <x:v>证监会、交易所</x:v>
      </x:c>
      <x:c r="L40" s="38" t="str">
        <x:v>未见近三年证券监管处罚</x:v>
      </x:c>
      <x:c r="M40" s="38" t="str">
        <x:v>未触发</x:v>
      </x:c>
      <x:c r="N40" s="38" t="str">
        <x:v>与G1联动</x:v>
      </x:c>
      <x:c r="O40" s="38" t="str">
        <x:v>跨行业处罚仍需检索。</x:v>
      </x:c>
    </x:row>
    <x:row r="41">
      <x:c r="A41" s="38" t="str">
        <x:v>R3</x:v>
      </x:c>
      <x:c r="B41" s="38" t="str">
        <x:v>红旗覆盖</x:v>
      </x:c>
      <x:c r="C41" s="38" t="str">
        <x:v>重大技术质量/安全事故</x:v>
      </x:c>
      <x:c r="D41" s="38" t="str"/>
      <x:c r="E41" s="38" t="str">
        <x:v>红旗</x:v>
      </x:c>
      <x:c r="F41" s="38" t="str">
        <x:v>批量召回、重大停运、数据泄露或安全事故。</x:v>
      </x:c>
      <x:c r="G41" s="38" t="str">
        <x:v>官方事故/召回/监管公告，按严重性和时间衰减。</x:v>
      </x:c>
      <x:c r="H41" s="38" t="str">
        <x:v>重大事件触发整体高风险。</x:v>
      </x:c>
      <x:c r="I41" s="38" t="str">
        <x:v>实时</x:v>
      </x:c>
      <x:c r="J41" s="38" t="str">
        <x:v>中</x:v>
      </x:c>
      <x:c r="K41" s="38" t="str">
        <x:v>监管部门、公司公告</x:v>
      </x:c>
      <x:c r="L41" s="38" t="str">
        <x:v>未在年报形成可量化事件指数</x:v>
      </x:c>
      <x:c r="M41" s="38" t="str">
        <x:v>待检索</x:v>
      </x:c>
      <x:c r="N41" s="38" t="str">
        <x:v>由“重大技术质量事件指数”改为红旗</x:v>
      </x:c>
      <x:c r="O41" s="38" t="str">
        <x:v>统一事件分母通常不可得。</x:v>
      </x:c>
    </x:row>
    <x:row r="42">
      <x:c r="A42" s="38" t="str">
        <x:v>D1</x:v>
      </x:c>
      <x:c r="B42" s="38" t="str">
        <x:v>现场尽调</x:v>
      </x:c>
      <x:c r="C42" s="38" t="str">
        <x:v>统一工况性能行业分位</x:v>
      </x:c>
      <x:c r="D42" s="38" t="str"/>
      <x:c r="E42" s="38" t="str">
        <x:v>尽调</x:v>
      </x:c>
      <x:c r="F42" s="38" t="str">
        <x:v>在同代际、同工况、同精度下比较核心性能。</x:v>
      </x:c>
      <x:c r="G42" s="38" t="str">
        <x:v>统一测试集/环境/功耗/精度；外部复测。</x:v>
      </x:c>
      <x:c r="H42" s="38" t="str">
        <x:v>证据缺失本身为尽调缺口，不直接计分。</x:v>
      </x:c>
      <x:c r="I42" s="38" t="str">
        <x:v>专项</x:v>
      </x:c>
      <x:c r="J42" s="38" t="str">
        <x:v>低</x:v>
      </x:c>
      <x:c r="K42" s="38" t="str">
        <x:v>测试报告、客户PoC</x:v>
      </x:c>
      <x:c r="L42" s="38" t="str">
        <x:v>公开资料不足以形成可比百分位</x:v>
      </x:c>
      <x:c r="M42" s="38" t="str">
        <x:v>不可公开测</x:v>
      </x:c>
      <x:c r="N42" s="38" t="str">
        <x:v>从核心权重移出</x:v>
      </x:c>
      <x:c r="O42" s="38" t="str">
        <x:v>跨芯片架构和软件栈比较高度敏感。</x:v>
      </x:c>
    </x:row>
    <x:row r="43">
      <x:c r="A43" s="39" t="str">
        <x:v>D2</x:v>
      </x:c>
      <x:c r="B43" s="39" t="str">
        <x:v>现场尽调</x:v>
      </x:c>
      <x:c r="C43" s="39" t="str">
        <x:v>BOM/SBOM关键技术依赖与替代率</x:v>
      </x:c>
      <x:c r="D43" s="39" t="str"/>
      <x:c r="E43" s="39" t="str">
        <x:v>尽调</x:v>
      </x:c>
      <x:c r="F43" s="39" t="str">
        <x:v>穿透关键IP、EDA、晶圆、封装、软件依赖及替代方案。</x:v>
      </x:c>
      <x:c r="G43" s="39" t="str">
        <x:v>不可替代关键模块数÷关键模块总数；按影响加权。</x:v>
      </x:c>
      <x:c r="H43" s="39" t="str">
        <x:v>不可替代单一来源触发高风险。</x:v>
      </x:c>
      <x:c r="I43" s="39" t="str">
        <x:v>专项</x:v>
      </x:c>
      <x:c r="J43" s="39" t="str">
        <x:v>低</x:v>
      </x:c>
      <x:c r="K43" s="39" t="str">
        <x:v>BOM、合同、供应商访谈</x:v>
      </x:c>
      <x:c r="L43" s="39" t="str">
        <x:v>年报仅披露Fabless和集中度</x:v>
      </x:c>
      <x:c r="M43" s="39" t="str">
        <x:v>不可公开测</x:v>
      </x:c>
      <x:c r="N43" s="39" t="str">
        <x:v>替代“进口依赖度/自主可控度”精确比例</x:v>
      </x:c>
      <x:c r="O43" s="39" t="str">
        <x:v>公开CR1/CR5只能作外部代理。</x:v>
      </x:c>
    </x:row>
  </x:sheetData>
  <x:mergeCells>
    <x:mergeCell ref="A1:O1"/>
    <x:mergeCell ref="A2:O2"/>
    <x:mergeCell ref="A25:C25"/>
    <x:mergeCell ref="E25:O25"/>
    <x:mergeCell ref="A28:O28"/>
    <x:mergeCell ref="A37:O37"/>
  </x:mergeCells>
  <x:conditionalFormatting sqref="J5:J24">
    <x:cfRule type="containsText" dxfId="0" priority="1" operator="containsText" text="高"/>
  </x:conditionalFormatting>
  <x:conditionalFormatting sqref="J5:J43">
    <x:cfRule type="containsText" dxfId="1" priority="2" operator="containsText" text="低"/>
  </x:conditionalFormatting>
  <x:conditionalFormatting sqref="M5:M43">
    <x:cfRule type="containsText" dxfId="2" priority="3" operator="containsText" text="待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11" hidden="0" customWidth="1"/>
    <x:col min="8" max="8" width="30" hidden="0" customWidth="1"/>
    <x:col min="9" max="9" width="10" hidden="0" customWidth="1"/>
    <x:col min="10" max="10" width="34" hidden="0" customWidth="1"/>
  </x:cols>
  <x:sheetData>
    <x:row r="1" ht="30" customHeight="1">
      <x:c r="A1" s="95" t="str">
        <x:v>寒武纪公开参数样本（2025年度）</x:v>
      </x:c>
      <x:c r="B1" s="95" t="str">
        <x:v>寒武纪公开参数样本（2025年度）</x:v>
      </x:c>
      <x:c r="C1" s="95" t="str">
        <x:v>寒武纪公开参数样本（2025年度）</x:v>
      </x:c>
      <x:c r="D1" s="95" t="str">
        <x:v>寒武纪公开参数样本（2025年度）</x:v>
      </x:c>
      <x:c r="E1" s="95" t="str">
        <x:v>寒武纪公开参数样本（2025年度）</x:v>
      </x:c>
      <x:c r="F1" s="95" t="str">
        <x:v>寒武纪公开参数样本（2025年度）</x:v>
      </x:c>
      <x:c r="G1" s="95" t="str">
        <x:v>寒武纪公开参数样本（2025年度）</x:v>
      </x:c>
      <x:c r="H1" s="95" t="str">
        <x:v>寒武纪公开参数样本（2025年度）</x:v>
      </x:c>
      <x:c r="I1" s="95" t="str">
        <x:v>寒武纪公开参数样本（2025年度）</x:v>
      </x:c>
      <x:c r="J1" s="95" t="str">
        <x:v>寒武纪公开参数样本（2025年度）</x:v>
      </x:c>
    </x:row>
    <x:row r="2" ht="34" customHeight="1">
      <x:c r="A2" s="96" t="str">
        <x:v>蓝字=可替换的公开输入；黑字=公式；绿色=工作簿内引用。金额单位均为人民币元，除非另有注明。</x:v>
      </x:c>
      <x:c r="B2" s="96" t="str">
        <x:v>蓝字=可替换的公开输入；黑字=公式；绿色=工作簿内引用。金额单位均为人民币元，除非另有注明。</x:v>
      </x:c>
      <x:c r="C2" s="96" t="str">
        <x:v>蓝字=可替换的公开输入；黑字=公式；绿色=工作簿内引用。金额单位均为人民币元，除非另有注明。</x:v>
      </x:c>
      <x:c r="D2" s="96" t="str">
        <x:v>蓝字=可替换的公开输入；黑字=公式；绿色=工作簿内引用。金额单位均为人民币元，除非另有注明。</x:v>
      </x:c>
      <x:c r="E2" s="96" t="str">
        <x:v>蓝字=可替换的公开输入；黑字=公式；绿色=工作簿内引用。金额单位均为人民币元，除非另有注明。</x:v>
      </x:c>
      <x:c r="F2" s="96" t="str">
        <x:v>蓝字=可替换的公开输入；黑字=公式；绿色=工作簿内引用。金额单位均为人民币元，除非另有注明。</x:v>
      </x:c>
      <x:c r="G2" s="96" t="str">
        <x:v>蓝字=可替换的公开输入；黑字=公式；绿色=工作簿内引用。金额单位均为人民币元，除非另有注明。</x:v>
      </x:c>
      <x:c r="H2" s="96" t="str">
        <x:v>蓝字=可替换的公开输入；黑字=公式；绿色=工作簿内引用。金额单位均为人民币元，除非另有注明。</x:v>
      </x:c>
      <x:c r="I2" s="96" t="str">
        <x:v>蓝字=可替换的公开输入；黑字=公式；绿色=工作簿内引用。金额单位均为人民币元，除非另有注明。</x:v>
      </x:c>
      <x:c r="J2" s="96" t="str">
        <x:v>蓝字=可替换的公开输入；黑字=公式；绿色=工作簿内引用。金额单位均为人民币元，除非另有注明。</x:v>
      </x:c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</x:row>
    <x:row r="4" ht="34" customHeight="1">
      <x:c r="A4" s="73" t="str">
        <x:v>编号</x:v>
      </x:c>
      <x:c r="B4" s="73" t="str">
        <x:v>参数</x:v>
      </x:c>
      <x:c r="C4" s="73" t="str">
        <x:v>原始值A</x:v>
      </x:c>
      <x:c r="D4" s="73" t="str">
        <x:v>原始值B</x:v>
      </x:c>
      <x:c r="E4" s="73" t="str">
        <x:v>派生值</x:v>
      </x:c>
      <x:c r="F4" s="73" t="str">
        <x:v>单位/格式</x:v>
      </x:c>
      <x:c r="G4" s="73" t="str">
        <x:v>对应指标</x:v>
      </x:c>
      <x:c r="H4" s="73" t="str">
        <x:v>风险提示</x:v>
      </x:c>
      <x:c r="I4" s="73" t="str">
        <x:v>来源ID</x:v>
      </x:c>
      <x:c r="J4" s="73" t="str">
        <x:v>备注</x:v>
      </x:c>
    </x:row>
    <x:row r="5">
      <x:c r="A5" s="37" t="str">
        <x:v>P01</x:v>
      </x:c>
      <x:c r="B5" s="37" t="str">
        <x:v>营业收入（2025）</x:v>
      </x:c>
      <x:c r="C5" s="85" t="n">
        <x:v>6497196198.68</x:v>
      </x:c>
      <x:c r="D5" s="85" t="str"/>
      <x:c r="E5" s="82" t="str"/>
      <x:c r="F5" s="37" t="str">
        <x:v>元</x:v>
      </x:c>
      <x:c r="G5" s="37" t="str">
        <x:v>F1</x:v>
      </x:c>
      <x:c r="H5" s="37" t="str">
        <x:v>年度高增长，但需结合现金流和集中度</x:v>
      </x:c>
      <x:c r="I5" s="37" t="str">
        <x:v>S1</x:v>
      </x:c>
      <x:c r="J5" s="37" t="str"/>
    </x:row>
    <x:row r="6">
      <x:c r="A6" s="38" t="str">
        <x:v>P02</x:v>
      </x:c>
      <x:c r="B6" s="38" t="str">
        <x:v>营业收入（2024）</x:v>
      </x:c>
      <x:c r="C6" s="86" t="n">
        <x:v>1174464377.35</x:v>
      </x:c>
      <x:c r="D6" s="86" t="str"/>
      <x:c r="E6" s="87" t="n">
        <x:f>C5/C6-1</x:f>
        <x:v>4.5320504597507965</x:v>
      </x:c>
      <x:c r="F6" s="38" t="str">
        <x:v>%</x:v>
      </x:c>
      <x:c r="G6" s="38" t="str">
        <x:v>F1</x:v>
      </x:c>
      <x:c r="H6" s="38" t="str">
        <x:v>增长率</x:v>
      </x:c>
      <x:c r="I6" s="38" t="str">
        <x:v>S1</x:v>
      </x:c>
      <x:c r="J6" s="38" t="str"/>
    </x:row>
    <x:row r="7">
      <x:c r="A7" s="38" t="str">
        <x:v>P03</x:v>
      </x:c>
      <x:c r="B7" s="38" t="str">
        <x:v>研发投入</x:v>
      </x:c>
      <x:c r="C7" s="86" t="n">
        <x:v>1169101000</x:v>
      </x:c>
      <x:c r="D7" s="86" t="n">
        <x:v>6497196198.68</x:v>
      </x:c>
      <x:c r="E7" s="87" t="n">
        <x:f>C7/D7</x:f>
        <x:v>0.17993930985761517</x:v>
      </x:c>
      <x:c r="F7" s="38" t="str">
        <x:v>%</x:v>
      </x:c>
      <x:c r="G7" s="38" t="str">
        <x:v>T1</x:v>
      </x:c>
      <x:c r="H7" s="38" t="str">
        <x:v>投入强度</x:v>
      </x:c>
      <x:c r="I7" s="38" t="str">
        <x:v>S1</x:v>
      </x:c>
      <x:c r="J7" s="38" t="str">
        <x:v>年报“研发投入”口径，不等同利润表研发费用</x:v>
      </x:c>
    </x:row>
    <x:row r="8">
      <x:c r="A8" s="38" t="str">
        <x:v>P04</x:v>
      </x:c>
      <x:c r="B8" s="38" t="str">
        <x:v>研发人员/员工总数</x:v>
      </x:c>
      <x:c r="C8" s="86" t="n">
        <x:v>887</x:v>
      </x:c>
      <x:c r="D8" s="86" t="n">
        <x:v>1107</x:v>
      </x:c>
      <x:c r="E8" s="87" t="n">
        <x:f>C8/D8</x:f>
        <x:v>0.8012646793134598</x:v>
      </x:c>
      <x:c r="F8" s="38" t="str">
        <x:v>%</x:v>
      </x:c>
      <x:c r="G8" s="38" t="str">
        <x:v>T2</x:v>
      </x:c>
      <x:c r="H8" s="38" t="str">
        <x:v>研发人力密度</x:v>
      </x:c>
      <x:c r="I8" s="38" t="str">
        <x:v>S1</x:v>
      </x:c>
      <x:c r="J8" s="38" t="str"/>
    </x:row>
    <x:row r="9">
      <x:c r="A9" s="38" t="str">
        <x:v>P05</x:v>
      </x:c>
      <x:c r="B9" s="38" t="str">
        <x:v>研发人员硕士及以上占比</x:v>
      </x:c>
      <x:c r="C9" s="88" t="n">
        <x:v>0.8095</x:v>
      </x:c>
      <x:c r="D9" s="86" t="str"/>
      <x:c r="E9" s="87" t="str"/>
      <x:c r="F9" s="38" t="str">
        <x:v>%</x:v>
      </x:c>
      <x:c r="G9" s="38" t="str">
        <x:v>T2</x:v>
      </x:c>
      <x:c r="H9" s="38" t="str">
        <x:v>学历结构</x:v>
      </x:c>
      <x:c r="I9" s="38" t="str">
        <x:v>S1</x:v>
      </x:c>
      <x:c r="J9" s="38" t="str">
        <x:v>年报披露“80.95%以上”</x:v>
      </x:c>
    </x:row>
    <x:row r="10">
      <x:c r="A10" s="38" t="str">
        <x:v>P06</x:v>
      </x:c>
      <x:c r="B10" s="38" t="str">
        <x:v>累计授权/累计申请专利</x:v>
      </x:c>
      <x:c r="C10" s="86" t="n">
        <x:v>1734</x:v>
      </x:c>
      <x:c r="D10" s="86" t="n">
        <x:v>2846</x:v>
      </x:c>
      <x:c r="E10" s="87" t="n">
        <x:f>C10/D10</x:f>
        <x:v>0.6092761770906535</x:v>
      </x:c>
      <x:c r="F10" s="38" t="str">
        <x:v>%</x:v>
      </x:c>
      <x:c r="G10" s="38" t="str">
        <x:v>T3</x:v>
      </x:c>
      <x:c r="H10" s="38" t="str">
        <x:v>仅为代理，不是真实队列授权率</x:v>
      </x:c>
      <x:c r="I10" s="38" t="str">
        <x:v>S1</x:v>
      </x:c>
      <x:c r="J10" s="38" t="str">
        <x:v>授权发明专利1,661项，海外授权531项</x:v>
      </x:c>
    </x:row>
    <x:row r="11">
      <x:c r="A11" s="38" t="str">
        <x:v>P07</x:v>
      </x:c>
      <x:c r="B11" s="38" t="str">
        <x:v>募投项目累计投入/承诺投入</x:v>
      </x:c>
      <x:c r="C11" s="86" t="n">
        <x:v>333023800</x:v>
      </x:c>
      <x:c r="D11" s="86" t="n">
        <x:v>449736800</x:v>
      </x:c>
      <x:c r="E11" s="87" t="n">
        <x:f>C11/D11</x:f>
        <x:v>0.7404859909173543</x:v>
      </x:c>
      <x:c r="F11" s="38" t="str">
        <x:v>%</x:v>
      </x:c>
      <x:c r="G11" s="38" t="str">
        <x:v>T4</x:v>
      </x:c>
      <x:c r="H11" s="38" t="str">
        <x:v>稳定工艺平台芯片项目进度</x:v>
      </x:c>
      <x:c r="I11" s="38" t="str">
        <x:v>S1</x:v>
      </x:c>
      <x:c r="J11" s="38" t="str">
        <x:v>计划达到预定可使用状态：2026年5月</x:v>
      </x:c>
    </x:row>
    <x:row r="12">
      <x:c r="A12" s="38" t="str">
        <x:v>P08</x:v>
      </x:c>
      <x:c r="B12" s="38" t="str">
        <x:v>营业收入/经营现金流净额</x:v>
      </x:c>
      <x:c r="C12" s="86" t="n">
        <x:v>6497196198.68</x:v>
      </x:c>
      <x:c r="D12" s="86" t="n">
        <x:v>-498398137.01</x:v>
      </x:c>
      <x:c r="E12" s="87" t="n">
        <x:f>D12/C12</x:f>
        <x:v>-0.07670972551379267</x:v>
      </x:c>
      <x:c r="F12" s="38" t="str">
        <x:v>%</x:v>
      </x:c>
      <x:c r="G12" s="38" t="str">
        <x:v>F2</x:v>
      </x:c>
      <x:c r="H12" s="38" t="str">
        <x:v>经营现金流率为负</x:v>
      </x:c>
      <x:c r="I12" s="38" t="str">
        <x:v>S1</x:v>
      </x:c>
      <x:c r="J12" s="38" t="str"/>
    </x:row>
    <x:row r="13">
      <x:c r="A13" s="38" t="str">
        <x:v>P09</x:v>
      </x:c>
      <x:c r="B13" s="38" t="str">
        <x:v>第一大客户销售额/营业收入</x:v>
      </x:c>
      <x:c r="C13" s="86" t="n">
        <x:v>1703050400</x:v>
      </x:c>
      <x:c r="D13" s="86" t="n">
        <x:v>6497196198.68</x:v>
      </x:c>
      <x:c r="E13" s="87" t="n">
        <x:f>C13/D13</x:f>
        <x:v>0.26212082072356063</x:v>
      </x:c>
      <x:c r="F13" s="38" t="str">
        <x:v>%</x:v>
      </x:c>
      <x:c r="G13" s="38" t="str">
        <x:v>F3</x:v>
      </x:c>
      <x:c r="H13" s="38" t="str">
        <x:v>客户集中风险</x:v>
      </x:c>
      <x:c r="I13" s="38" t="str">
        <x:v>S1</x:v>
      </x:c>
      <x:c r="J13" s="38" t="str">
        <x:v>CR5直接披露88.66%</x:v>
      </x:c>
    </x:row>
    <x:row r="14">
      <x:c r="A14" s="38" t="str">
        <x:v>P10</x:v>
      </x:c>
      <x:c r="B14" s="38" t="str">
        <x:v>客户CR5</x:v>
      </x:c>
      <x:c r="C14" s="88" t="n">
        <x:v>0.8866</x:v>
      </x:c>
      <x:c r="D14" s="86" t="str"/>
      <x:c r="E14" s="87" t="str"/>
      <x:c r="F14" s="38" t="str">
        <x:v>%</x:v>
      </x:c>
      <x:c r="G14" s="38" t="str">
        <x:v>F3</x:v>
      </x:c>
      <x:c r="H14" s="38" t="str">
        <x:v>高集中</x:v>
      </x:c>
      <x:c r="I14" s="38" t="str">
        <x:v>S1</x:v>
      </x:c>
      <x:c r="J14" s="38" t="str"/>
    </x:row>
    <x:row r="15">
      <x:c r="A15" s="38" t="str">
        <x:v>P11</x:v>
      </x:c>
      <x:c r="B15" s="38" t="str">
        <x:v>供应商CR1</x:v>
      </x:c>
      <x:c r="C15" s="88" t="n">
        <x:v>0.5534</x:v>
      </x:c>
      <x:c r="D15" s="86" t="str"/>
      <x:c r="E15" s="87" t="str"/>
      <x:c r="F15" s="38" t="str">
        <x:v>%</x:v>
      </x:c>
      <x:c r="G15" s="38" t="str">
        <x:v>F4</x:v>
      </x:c>
      <x:c r="H15" s="38" t="str">
        <x:v>单一供应商超过50%</x:v>
      </x:c>
      <x:c r="I15" s="38" t="str">
        <x:v>S1</x:v>
      </x:c>
      <x:c r="J15" s="38" t="str"/>
    </x:row>
    <x:row r="16">
      <x:c r="A16" s="38" t="str">
        <x:v>P12</x:v>
      </x:c>
      <x:c r="B16" s="38" t="str">
        <x:v>供应商CR5</x:v>
      </x:c>
      <x:c r="C16" s="88" t="n">
        <x:v>0.7523</x:v>
      </x:c>
      <x:c r="D16" s="86" t="str"/>
      <x:c r="E16" s="87" t="str"/>
      <x:c r="F16" s="38" t="str">
        <x:v>%</x:v>
      </x:c>
      <x:c r="G16" s="38" t="str">
        <x:v>F4</x:v>
      </x:c>
      <x:c r="H16" s="38" t="str">
        <x:v>采购集中</x:v>
      </x:c>
      <x:c r="I16" s="38" t="str">
        <x:v>S1</x:v>
      </x:c>
      <x:c r="J16" s="38" t="str"/>
    </x:row>
    <x:row r="17">
      <x:c r="A17" s="38" t="str">
        <x:v>P13</x:v>
      </x:c>
      <x:c r="B17" s="38" t="str">
        <x:v>应收账款及合同资产CR5</x:v>
      </x:c>
      <x:c r="C17" s="88" t="n">
        <x:v>0.9409</x:v>
      </x:c>
      <x:c r="D17" s="86" t="str"/>
      <x:c r="E17" s="87" t="str"/>
      <x:c r="F17" s="38" t="str">
        <x:v>%</x:v>
      </x:c>
      <x:c r="G17" s="38" t="str">
        <x:v>F5</x:v>
      </x:c>
      <x:c r="H17" s="38" t="str">
        <x:v>信用风险高度集中</x:v>
      </x:c>
      <x:c r="I17" s="38" t="str">
        <x:v>S1</x:v>
      </x:c>
      <x:c r="J17" s="38" t="str"/>
    </x:row>
    <x:row r="18">
      <x:c r="A18" s="38" t="str">
        <x:v>P14</x:v>
      </x:c>
      <x:c r="B18" s="38" t="str">
        <x:v>无形资产/总资产</x:v>
      </x:c>
      <x:c r="C18" s="86" t="n">
        <x:v>189114622.08</x:v>
      </x:c>
      <x:c r="D18" s="86" t="n">
        <x:v>13437714065.91</x:v>
      </x:c>
      <x:c r="E18" s="87" t="n">
        <x:f>C18/D18</x:f>
        <x:v>0.014073422097867298</x:v>
      </x:c>
      <x:c r="F18" s="38" t="str">
        <x:v>%</x:v>
      </x:c>
      <x:c r="G18" s="38" t="str">
        <x:v>F6</x:v>
      </x:c>
      <x:c r="H18" s="38" t="str">
        <x:v>账面占比较低</x:v>
      </x:c>
      <x:c r="I18" s="38" t="str">
        <x:v>S1</x:v>
      </x:c>
      <x:c r="J18" s="38" t="str">
        <x:v>内部研发形成无形资产占比0%</x:v>
      </x:c>
    </x:row>
    <x:row r="19">
      <x:c r="A19" s="38" t="str">
        <x:v>P15</x:v>
      </x:c>
      <x:c r="B19" s="38" t="str">
        <x:v>短期+长期借款</x:v>
      </x:c>
      <x:c r="C19" s="86" t="n">
        <x:v>0</x:v>
      </x:c>
      <x:c r="D19" s="86" t="n">
        <x:v>13437714065.91</x:v>
      </x:c>
      <x:c r="E19" s="87" t="n">
        <x:f>C19/D19</x:f>
        <x:v>0</x:v>
      </x:c>
      <x:c r="F19" s="38" t="str">
        <x:v>%</x:v>
      </x:c>
      <x:c r="G19" s="38" t="str">
        <x:v>F7</x:v>
      </x:c>
      <x:c r="H19" s="38" t="str">
        <x:v>年末银行借款负担低</x:v>
      </x:c>
      <x:c r="I19" s="38" t="str">
        <x:v>S1</x:v>
      </x:c>
      <x:c r="J19" s="38" t="str">
        <x:v>利息支出2,087,905.23元</x:v>
      </x:c>
    </x:row>
    <x:row r="20">
      <x:c r="A20" s="38" t="str">
        <x:v>P16</x:v>
      </x:c>
      <x:c r="B20" s="38" t="str">
        <x:v>定增股份/发行前股本</x:v>
      </x:c>
      <x:c r="C20" s="86" t="n">
        <x:v>3334946</x:v>
      </x:c>
      <x:c r="D20" s="86" t="n">
        <x:v>418350224</x:v>
      </x:c>
      <x:c r="E20" s="87" t="n">
        <x:f>C20/D20</x:f>
        <x:v>0.00797166060558868</x:v>
      </x:c>
      <x:c r="F20" s="38" t="str">
        <x:v>%</x:v>
      </x:c>
      <x:c r="G20" s="38" t="str">
        <x:v>F8</x:v>
      </x:c>
      <x:c r="H20" s="38" t="str">
        <x:v>定增口径稀释</x:v>
      </x:c>
      <x:c r="I20" s="38" t="str">
        <x:v>S1</x:v>
      </x:c>
      <x:c r="J20" s="38" t="str">
        <x:v>募集资金总额3,985,327,168.92元</x:v>
      </x:c>
    </x:row>
    <x:row r="21">
      <x:c r="A21" s="38" t="str">
        <x:v>P17</x:v>
      </x:c>
      <x:c r="B21" s="38" t="str">
        <x:v>诉讼请求额/营业收入</x:v>
      </x:c>
      <x:c r="C21" s="86" t="n">
        <x:v>4286624448</x:v>
      </x:c>
      <x:c r="D21" s="86" t="n">
        <x:v>6497196198.68</x:v>
      </x:c>
      <x:c r="E21" s="87" t="n">
        <x:f>C21/D21</x:f>
        <x:v>0.6597652767313522</x:v>
      </x:c>
      <x:c r="F21" s="38" t="str">
        <x:v>%</x:v>
      </x:c>
      <x:c r="G21" s="38" t="str">
        <x:v>G3</x:v>
      </x:c>
      <x:c r="H21" s="38" t="str">
        <x:v>请求额大；不等于最终损失</x:v>
      </x:c>
      <x:c r="I21" s="38" t="str">
        <x:v>S1</x:v>
      </x:c>
      <x:c r="J21" s="38" t="str">
        <x:v>截至年末已受理、尚未开庭</x:v>
      </x:c>
    </x:row>
    <x:row r="22">
      <x:c r="A22" s="38" t="str">
        <x:v>P18</x:v>
      </x:c>
      <x:c r="B22" s="38" t="str">
        <x:v>实控人直接+控制主体持股</x:v>
      </x:c>
      <x:c r="C22" s="88" t="n">
        <x:v>0.2835</x:v>
      </x:c>
      <x:c r="D22" s="88" t="n">
        <x:v>0.0727</x:v>
      </x:c>
      <x:c r="E22" s="87" t="n">
        <x:f>C22+D22</x:f>
        <x:v>0.35619999999999996</x:v>
      </x:c>
      <x:c r="F22" s="38" t="str">
        <x:v>%</x:v>
      </x:c>
      <x:c r="G22" s="38" t="str">
        <x:v>G4</x:v>
      </x:c>
      <x:c r="H22" s="38" t="str">
        <x:v>合计控制口径</x:v>
      </x:c>
      <x:c r="I22" s="38" t="str">
        <x:v>S1</x:v>
      </x:c>
      <x:c r="J22" s="38" t="str">
        <x:v>陈天石+其控制的北京艾溪</x:v>
      </x:c>
    </x:row>
    <x:row r="23">
      <x:c r="A23" s="38" t="str">
        <x:v>P19</x:v>
      </x:c>
      <x:c r="B23" s="38" t="str">
        <x:v>境外收入/营业收入</x:v>
      </x:c>
      <x:c r="C23" s="86" t="n">
        <x:v>67082.35</x:v>
      </x:c>
      <x:c r="D23" s="86" t="n">
        <x:v>6497196198.68</x:v>
      </x:c>
      <x:c r="E23" s="89" t="n">
        <x:f>C23/D23</x:f>
        <x:v>0.000010324815189301004</x:v>
      </x:c>
      <x:c r="F23" s="38" t="str">
        <x:v>%</x:v>
      </x:c>
      <x:c r="G23" s="38" t="str">
        <x:v>E2</x:v>
      </x:c>
      <x:c r="H23" s="38" t="str">
        <x:v>海外收入暴露极低</x:v>
      </x:c>
      <x:c r="I23" s="38" t="str">
        <x:v>S1</x:v>
      </x:c>
      <x:c r="J23" s="38" t="str">
        <x:v>不代表上游进口依赖低</x:v>
      </x:c>
    </x:row>
    <x:row r="24">
      <x:c r="A24" s="38" t="str">
        <x:v>P20</x:v>
      </x:c>
      <x:c r="B24" s="38" t="str">
        <x:v>近三年证券监管处罚次数</x:v>
      </x:c>
      <x:c r="C24" s="86" t="n">
        <x:v>0</x:v>
      </x:c>
      <x:c r="D24" s="86" t="str"/>
      <x:c r="E24" s="83" t="str"/>
      <x:c r="F24" s="38" t="str">
        <x:v>次</x:v>
      </x:c>
      <x:c r="G24" s="38" t="str">
        <x:v>G1</x:v>
      </x:c>
      <x:c r="H24" s="38" t="str">
        <x:v>未触发</x:v>
      </x:c>
      <x:c r="I24" s="38" t="str">
        <x:v>S1</x:v>
      </x:c>
      <x:c r="J24" s="38" t="str">
        <x:v>公司年报披露不适用</x:v>
      </x:c>
    </x:row>
    <x:row r="25">
      <x:c r="A25" s="38" t="str">
        <x:v>P21</x:v>
      </x:c>
      <x:c r="B25" s="38" t="str">
        <x:v>BIS实体清单命中</x:v>
      </x:c>
      <x:c r="C25" s="86" t="str"/>
      <x:c r="D25" s="86" t="str"/>
      <x:c r="E25" s="83" t="str">
        <x:v>是</x:v>
      </x:c>
      <x:c r="F25" s="38" t="str">
        <x:v>是/否</x:v>
      </x:c>
      <x:c r="G25" s="38" t="str">
        <x:v>E1</x:v>
      </x:c>
      <x:c r="H25" s="38" t="str">
        <x:v>红旗：在册命中</x:v>
      </x:c>
      <x:c r="I25" s="38" t="str">
        <x:v>S6</x:v>
      </x:c>
      <x:c r="J25" s="38" t="str">
        <x:v>至少命中公司及多家关联主体</x:v>
      </x:c>
    </x:row>
    <x:row r="26">
      <x:c r="A26" s="38" t="str">
        <x:v>P22</x:v>
      </x:c>
      <x:c r="B26" s="38" t="str">
        <x:v>核心技术人员离任</x:v>
      </x:c>
      <x:c r="C26" s="80" t="str"/>
      <x:c r="D26" s="80" t="str"/>
      <x:c r="E26" s="83" t="str">
        <x:v>未见披露</x:v>
      </x:c>
      <x:c r="F26" s="38" t="str">
        <x:v>事件</x:v>
      </x:c>
      <x:c r="G26" s="38" t="str">
        <x:v>G5</x:v>
      </x:c>
      <x:c r="H26" s="38" t="str">
        <x:v>2025年变动为独立董事换届</x:v>
      </x:c>
      <x:c r="I26" s="38" t="str">
        <x:v>S1</x:v>
      </x:c>
      <x:c r="J26" s="38" t="str">
        <x:v>不等于人员流失率为0；需持续公告监控</x:v>
      </x:c>
    </x:row>
    <x:row r="27">
      <x:c r="A27" s="39" t="str">
        <x:v>P23</x:v>
      </x:c>
      <x:c r="B27" s="39" t="str">
        <x:v>交易所问询次数</x:v>
      </x:c>
      <x:c r="C27" s="81" t="str"/>
      <x:c r="D27" s="81" t="str"/>
      <x:c r="E27" s="84" t="str">
        <x:v>待结构化查询</x:v>
      </x:c>
      <x:c r="F27" s="39" t="str">
        <x:v>次</x:v>
      </x:c>
      <x:c r="G27" s="39" t="str">
        <x:v>G2</x:v>
      </x:c>
      <x:c r="H27" s="39" t="str">
        <x:v>不能以搜索引擎未检出当作0</x:v>
      </x:c>
      <x:c r="I27" s="39" t="str">
        <x:v>S5</x:v>
      </x:c>
      <x:c r="J27" s="39" t="str">
        <x:v>需按证券代码、日期范围查询</x:v>
      </x:c>
    </x:row>
    <x:row r="28" ht="34" customHeight="1">
      <x:c r="A28" s="73" t="str">
        <x:v>检查项</x:v>
      </x:c>
      <x:c r="B28" s="73" t="str">
        <x:v>实际值</x:v>
      </x:c>
      <x:c r="C28" s="73" t="str">
        <x:v>期望值</x:v>
      </x:c>
      <x:c r="D28" s="73" t="str">
        <x:v>差异</x:v>
      </x:c>
      <x:c r="E28" s="73" t="str">
        <x:v>状态</x:v>
      </x:c>
      <x:c r="F28" s="73" t="str">
        <x:v>说明</x:v>
      </x:c>
      <x:c r="G28" s="73" t="str"/>
      <x:c r="H28" s="73" t="str"/>
      <x:c r="I28" s="73" t="str"/>
      <x:c r="J28" s="73" t="str"/>
    </x:row>
    <x:row r="29">
      <x:c r="A29" s="37" t="str">
        <x:v>收入增速复算</x:v>
      </x:c>
      <x:c r="B29" s="40" t="n">
        <x:f>E6</x:f>
        <x:v>4.5320504597507965</x:v>
      </x:c>
      <x:c r="C29" s="40" t="n">
        <x:v>4.5321</x:v>
      </x:c>
      <x:c r="D29" s="40" t="n">
        <x:f>B29-C29</x:f>
        <x:v>-0.000049540249203339215</x:v>
      </x:c>
      <x:c r="E29" s="37" t="str">
        <x:f>IF(ABS(D29)&lt;0.0002,"OK","复核")</x:f>
        <x:v>OK</x:v>
      </x:c>
      <x:c r="F29" s="37" t="str">
        <x:v>应与年报披露453.21%接近</x:v>
      </x:c>
      <x:c r="G29" s="37" t="str"/>
      <x:c r="H29" s="37" t="str"/>
      <x:c r="I29" s="37" t="str"/>
      <x:c r="J29" s="37" t="str"/>
    </x:row>
    <x:row r="30">
      <x:c r="A30" s="38" t="str">
        <x:v>研发强度复算</x:v>
      </x:c>
      <x:c r="B30" s="41" t="n">
        <x:f>E7</x:f>
        <x:v>0.17993930985761517</x:v>
      </x:c>
      <x:c r="C30" s="41" t="n">
        <x:v>0.1799</x:v>
      </x:c>
      <x:c r="D30" s="41" t="n">
        <x:f>B30-C30</x:f>
        <x:v>0.000039309857615160704</x:v>
      </x:c>
      <x:c r="E30" s="38" t="str">
        <x:f>IF(ABS(D30)&lt;0.0002,"OK","复核")</x:f>
        <x:v>OK</x:v>
      </x:c>
      <x:c r="F30" s="38" t="str">
        <x:v>应与年报披露17.99%接近</x:v>
      </x:c>
      <x:c r="G30" s="38" t="str"/>
      <x:c r="H30" s="38" t="str"/>
      <x:c r="I30" s="38" t="str"/>
      <x:c r="J30" s="38" t="str"/>
    </x:row>
    <x:row r="31">
      <x:c r="A31" s="38" t="str">
        <x:v>参数来源完整率</x:v>
      </x:c>
      <x:c r="B31" s="38" t="n">
        <x:f>COUNTA(I5:I27)</x:f>
        <x:v>23</x:v>
      </x:c>
      <x:c r="C31" s="38" t="n">
        <x:v>23</x:v>
      </x:c>
      <x:c r="D31" s="38" t="n">
        <x:f>B31-C31</x:f>
        <x:v>0</x:v>
      </x:c>
      <x:c r="E31" s="38" t="str">
        <x:f>IF(D31=0,"OK","复核")</x:f>
        <x:v>OK</x:v>
      </x:c>
      <x:c r="F31" s="38" t="str">
        <x:v>允许G2问询次数保持“待查询”</x:v>
      </x:c>
      <x:c r="G31" s="38" t="str"/>
      <x:c r="H31" s="38" t="str"/>
      <x:c r="I31" s="38" t="str"/>
      <x:c r="J31" s="38" t="str"/>
    </x:row>
    <x:row r="32">
      <x:c r="A32" s="39" t="str">
        <x:v>工作簿状态</x:v>
      </x:c>
      <x:c r="B32" s="39" t="n">
        <x:f>COUNTIF(E29:E31,"OK")</x:f>
        <x:v>3</x:v>
      </x:c>
      <x:c r="C32" s="39" t="n">
        <x:v>3</x:v>
      </x:c>
      <x:c r="D32" s="39" t="n">
        <x:f>B32-C32</x:f>
        <x:v>0</x:v>
      </x:c>
      <x:c r="E32" s="39" t="str">
        <x:f>IF(D32=0,"OK","复核")</x:f>
        <x:v>OK</x:v>
      </x:c>
      <x:c r="F32" s="39" t="str">
        <x:v>全部检查为OK时可交付</x:v>
      </x:c>
      <x:c r="G32" s="39" t="str"/>
      <x:c r="H32" s="39" t="str"/>
      <x:c r="I32" s="39" t="str"/>
      <x:c r="J32" s="39" t="str"/>
    </x:row>
  </x:sheetData>
  <x:mergeCells>
    <x:mergeCell ref="A1:J1"/>
    <x:mergeCell ref="A2:J2"/>
  </x:mergeCells>
  <x:conditionalFormatting sqref="E29:E32">
    <x:cfRule type="containsText" dxfId="3" priority="1" operator="containsText" text="OK"/>
    <x:cfRule type="containsText" dxfId="4" priority="2" operator="containsText" text="复核"/>
  </x:conditionalFormatting>
  <x:pageMargins left="0.7" right="0.7" top="0.75" bottom="0.75" header="0.3" footer="0.3"/>
  <x:legacyDrawing xmlns:r="http://schemas.openxmlformats.org/officeDocument/2006/relationships" r:id="R828a5ec994fb497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28" hidden="0" customWidth="1"/>
    <x:col min="5" max="5" width="12" hidden="0" customWidth="1"/>
    <x:col min="6" max="6" width="38" hidden="0" customWidth="1"/>
    <x:col min="7" max="7" width="30" hidden="0" customWidth="1"/>
  </x:cols>
  <x:sheetData>
    <x:row r="1" ht="30" customHeight="1">
      <x:c r="A1" s="95" t="str">
        <x:v>原指标 → 新体系变更映射</x:v>
      </x:c>
      <x:c r="B1" s="95" t="str">
        <x:v>原指标 → 新体系变更映射</x:v>
      </x:c>
      <x:c r="C1" s="95" t="str">
        <x:v>原指标 → 新体系变更映射</x:v>
      </x:c>
      <x:c r="D1" s="95" t="str">
        <x:v>原指标 → 新体系变更映射</x:v>
      </x:c>
      <x:c r="E1" s="95" t="str">
        <x:v>原指标 → 新体系变更映射</x:v>
      </x:c>
      <x:c r="F1" s="95" t="str">
        <x:v>原指标 → 新体系变更映射</x:v>
      </x:c>
      <x:c r="G1" s="95" t="str">
        <x:v>原指标 → 新体系变更映射</x:v>
      </x:c>
    </x:row>
    <x:row r="2" ht="34" customHeight="1">
      <x:c r="A2" s="96" t="str">
        <x:v>原则：A类（年报直接可得）优先进入核心；B类（官方外部查询/文本加工）保留但降低权重；C类（内部数据/付费库/口径不统一）移至监测或尽调。</x:v>
      </x:c>
      <x:c r="B2" s="96" t="str">
        <x:v>原则：A类（年报直接可得）优先进入核心；B类（官方外部查询/文本加工）保留但降低权重；C类（内部数据/付费库/口径不统一）移至监测或尽调。</x:v>
      </x:c>
      <x:c r="C2" s="96" t="str">
        <x:v>原则：A类（年报直接可得）优先进入核心；B类（官方外部查询/文本加工）保留但降低权重；C类（内部数据/付费库/口径不统一）移至监测或尽调。</x:v>
      </x:c>
      <x:c r="D2" s="96" t="str">
        <x:v>原则：A类（年报直接可得）优先进入核心；B类（官方外部查询/文本加工）保留但降低权重；C类（内部数据/付费库/口径不统一）移至监测或尽调。</x:v>
      </x:c>
      <x:c r="E2" s="96" t="str">
        <x:v>原则：A类（年报直接可得）优先进入核心；B类（官方外部查询/文本加工）保留但降低权重；C类（内部数据/付费库/口径不统一）移至监测或尽调。</x:v>
      </x:c>
      <x:c r="F2" s="96" t="str">
        <x:v>原则：A类（年报直接可得）优先进入核心；B类（官方外部查询/文本加工）保留但降低权重；C类（内部数据/付费库/口径不统一）移至监测或尽调。</x:v>
      </x:c>
      <x:c r="G2" s="96" t="str">
        <x:v>原则：A类（年报直接可得）优先进入核心；B类（官方外部查询/文本加工）保留但降低权重；C类（内部数据/付费库/口径不统一）移至监测或尽调。</x:v>
      </x:c>
    </x:row>
    <x:row r="3">
      <x:c r="A3" s="76"/>
      <x:c r="B3" s="76"/>
      <x:c r="C3" s="76"/>
      <x:c r="D3" s="76"/>
      <x:c r="E3" s="76"/>
      <x:c r="F3" s="76"/>
      <x:c r="G3" s="76"/>
    </x:row>
    <x:row r="4" ht="34" customHeight="1">
      <x:c r="A4" s="73" t="str">
        <x:v>原指标/候选指标</x:v>
      </x:c>
      <x:c r="B4" s="73" t="str">
        <x:v>原层级</x:v>
      </x:c>
      <x:c r="C4" s="73" t="str">
        <x:v>处理动作</x:v>
      </x:c>
      <x:c r="D4" s="73" t="str">
        <x:v>新指标/去向</x:v>
      </x:c>
      <x:c r="E4" s="73" t="str">
        <x:v>可获取性</x:v>
      </x:c>
      <x:c r="F4" s="73" t="str">
        <x:v>调整理由</x:v>
      </x:c>
      <x:c r="G4" s="73" t="str">
        <x:v>建议数据源</x:v>
      </x:c>
    </x:row>
    <x:row r="5">
      <x:c r="A5" s="37" t="str">
        <x:v>叙事热度基本面背离度</x:v>
      </x:c>
      <x:c r="B5" s="37" t="str">
        <x:v>叙事</x:v>
      </x:c>
      <x:c r="C5" s="37" t="str">
        <x:v>移至非加权监测</x:v>
      </x:c>
      <x:c r="D5" s="37" t="str">
        <x:v>N1 叙事热度—基本面背离</x:v>
      </x:c>
      <x:c r="E5" s="37" t="str">
        <x:v>B</x:v>
      </x:c>
      <x:c r="F5" s="37" t="str">
        <x:v>新闻覆盖、去重和LLM分类不稳定，不宜直接进入财务式总分。</x:v>
      </x:c>
      <x:c r="G5" s="37" t="str">
        <x:v>e互动、固定新闻库、季报</x:v>
      </x:c>
    </x:row>
    <x:row r="6">
      <x:c r="A6" s="38" t="str">
        <x:v>第三方与自身表述偏差</x:v>
      </x:c>
      <x:c r="B6" s="38" t="str">
        <x:v>叙事</x:v>
      </x:c>
      <x:c r="C6" s="38" t="str">
        <x:v>移至非加权监测</x:v>
      </x:c>
      <x:c r="D6" s="38" t="str">
        <x:v>N2 自述—第三方表述偏差</x:v>
      </x:c>
      <x:c r="E6" s="38" t="str">
        <x:v>B/C</x:v>
      </x:c>
      <x:c r="F6" s="38" t="str">
        <x:v>第三方观点不等于真值，且研报多为付费数据。</x:v>
      </x:c>
      <x:c r="G6" s="38" t="str">
        <x:v>公告、研报、媒体</x:v>
      </x:c>
    </x:row>
    <x:row r="7">
      <x:c r="A7" s="38" t="str">
        <x:v>自身评价一致性/稳定性</x:v>
      </x:c>
      <x:c r="B7" s="38" t="str">
        <x:v>叙事</x:v>
      </x:c>
      <x:c r="C7" s="38" t="str">
        <x:v>保留监测</x:v>
      </x:c>
      <x:c r="D7" s="38" t="str">
        <x:v>N3 自身评价一致性</x:v>
      </x:c>
      <x:c r="E7" s="38" t="str">
        <x:v>B</x:v>
      </x:c>
      <x:c r="F7" s="38" t="str">
        <x:v>公开文本可得，但产品迭代会合理改变叙事。</x:v>
      </x:c>
      <x:c r="G7" s="38" t="str">
        <x:v>定期报告、问询回复</x:v>
      </x:c>
    </x:row>
    <x:row r="8">
      <x:c r="A8" s="38" t="str">
        <x:v>概念股标签关联度</x:v>
      </x:c>
      <x:c r="B8" s="38" t="str">
        <x:v>叙事</x:v>
      </x:c>
      <x:c r="C8" s="38" t="str">
        <x:v>移至监测并允许NA</x:v>
      </x:c>
      <x:c r="D8" s="38" t="str">
        <x:v>N4 概念标签—收入映射覆盖</x:v>
      </x:c>
      <x:c r="E8" s="38" t="str">
        <x:v>C</x:v>
      </x:c>
      <x:c r="F8" s="38" t="str">
        <x:v>多数公司不按热门概念拆分收入，不能把未披露当0。</x:v>
      </x:c>
      <x:c r="G8" s="38" t="str">
        <x:v>年报、互动问答</x:v>
      </x:c>
    </x:row>
    <x:row r="9">
      <x:c r="A9" s="38" t="str">
        <x:v>技术先进性—专利产出效率</x:v>
      </x:c>
      <x:c r="B9" s="38" t="str">
        <x:v>技术</x:v>
      </x:c>
      <x:c r="C9" s="38" t="str">
        <x:v>重写</x:v>
      </x:c>
      <x:c r="D9" s="38" t="str">
        <x:v>T3 专利组合有效性代理</x:v>
      </x:c>
      <x:c r="E9" s="38" t="str">
        <x:v>A/B</x:v>
      </x:c>
      <x:c r="F9" s="38" t="str">
        <x:v>授权量可得；专利质量和真实授权率需外部专利库。</x:v>
      </x:c>
      <x:c r="G9" s="38" t="str">
        <x:v>年报、CNIPA/WIPO</x:v>
      </x:c>
    </x:row>
    <x:row r="10">
      <x:c r="A10" s="38" t="str">
        <x:v>技术开源/</x:v>
      </x:c>
      <x:c r="B10" s="38" t="str">
        <x:v>技术</x:v>
      </x:c>
      <x:c r="C10" s="38" t="str">
        <x:v>补全并改名</x:v>
      </x:c>
      <x:c r="D10" s="38" t="str">
        <x:v>T5 认证/生态兼容与外部验证</x:v>
      </x:c>
      <x:c r="E10" s="38" t="str">
        <x:v>B</x:v>
      </x:c>
      <x:c r="F10" s="38" t="str">
        <x:v>芯片企业“开源贡献”不是统一指标；生态适配和认证更可核验。</x:v>
      </x:c>
      <x:c r="G10" s="38" t="str">
        <x:v>年报、生态项目、认证机构</x:v>
      </x:c>
    </x:row>
    <x:row r="11">
      <x:c r="A11" s="38" t="str">
        <x:v>核心技术人员占比</x:v>
      </x:c>
      <x:c r="B11" s="38" t="str">
        <x:v>技术</x:v>
      </x:c>
      <x:c r="C11" s="38" t="str">
        <x:v>规范口径</x:v>
      </x:c>
      <x:c r="D11" s="38" t="str">
        <x:v>T2 研发人员密度与学历结构</x:v>
      </x:c>
      <x:c r="E11" s="38" t="str">
        <x:v>A</x:v>
      </x:c>
      <x:c r="F11" s="38" t="str">
        <x:v>年报披露研发人员，不一定披露核心技术人员人数。</x:v>
      </x:c>
      <x:c r="G11" s="38" t="str">
        <x:v>年报</x:v>
      </x:c>
    </x:row>
    <x:row r="12">
      <x:c r="A12" s="38" t="str">
        <x:v>年报技术风险关键词密度</x:v>
      </x:c>
      <x:c r="B12" s="38" t="str">
        <x:v>技术</x:v>
      </x:c>
      <x:c r="C12" s="38" t="str">
        <x:v>保留监测</x:v>
      </x:c>
      <x:c r="D12" s="38" t="str">
        <x:v>N5 技术风险关键词密度</x:v>
      </x:c>
      <x:c r="E12" s="38" t="str">
        <x:v>A/B</x:v>
      </x:c>
      <x:c r="F12" s="38" t="str">
        <x:v>文本密度可能反映披露充分而非真实风险。</x:v>
      </x:c>
      <x:c r="G12" s="38" t="str">
        <x:v>年报全文</x:v>
      </x:c>
    </x:row>
    <x:row r="13">
      <x:c r="A13" s="38" t="str">
        <x:v>监管处罚次数</x:v>
      </x:c>
      <x:c r="B13" s="38" t="str">
        <x:v>合规</x:v>
      </x:c>
      <x:c r="C13" s="38" t="str">
        <x:v>保留并扩围</x:v>
      </x:c>
      <x:c r="D13" s="38" t="str">
        <x:v>G1 监管处罚及纪律处分</x:v>
      </x:c>
      <x:c r="E13" s="38" t="str">
        <x:v>A/B</x:v>
      </x:c>
      <x:c r="F13" s="38" t="str">
        <x:v>年报和监管网站可核验，适合事件指标。</x:v>
      </x:c>
      <x:c r="G13" s="38" t="str">
        <x:v>证监会、交易所、信用中国</x:v>
      </x:c>
    </x:row>
    <x:row r="14">
      <x:c r="A14" s="38" t="str">
        <x:v>交易所问询次数</x:v>
      </x:c>
      <x:c r="B14" s="38" t="str">
        <x:v>合规</x:v>
      </x:c>
      <x:c r="C14" s="38" t="str">
        <x:v>保留</x:v>
      </x:c>
      <x:c r="D14" s="38" t="str">
        <x:v>G2 交易所问询与监管措施</x:v>
      </x:c>
      <x:c r="E14" s="38" t="str">
        <x:v>B</x:v>
      </x:c>
      <x:c r="F14" s="38" t="str">
        <x:v>需结构化查询，搜索引擎未检出不能视为0。</x:v>
      </x:c>
      <x:c r="G14" s="38" t="str">
        <x:v>上交所监管问询/措施</x:v>
      </x:c>
    </x:row>
    <x:row r="15">
      <x:c r="A15" s="38" t="str">
        <x:v>诉讼风险</x:v>
      </x:c>
      <x:c r="B15" s="38" t="str">
        <x:v>合规</x:v>
      </x:c>
      <x:c r="C15" s="38" t="str">
        <x:v>保留强化</x:v>
      </x:c>
      <x:c r="D15" s="38" t="str">
        <x:v>G3 重大诉讼与或有事项</x:v>
      </x:c>
      <x:c r="E15" s="38" t="str">
        <x:v>A/B</x:v>
      </x:c>
      <x:c r="F15" s="38" t="str">
        <x:v>金额、案件阶段和预计负债均可从公告/年报提取。</x:v>
      </x:c>
      <x:c r="G15" s="38" t="str">
        <x:v>年报、重大诉讼公告</x:v>
      </x:c>
    </x:row>
    <x:row r="16">
      <x:c r="A16" s="38" t="str">
        <x:v>营业收入增长率</x:v>
      </x:c>
      <x:c r="B16" s="38" t="str">
        <x:v>财务</x:v>
      </x:c>
      <x:c r="C16" s="38" t="str">
        <x:v>保留强化</x:v>
      </x:c>
      <x:c r="D16" s="38" t="str">
        <x:v>F1 营业收入增长与波动</x:v>
      </x:c>
      <x:c r="E16" s="38" t="str">
        <x:v>A</x:v>
      </x:c>
      <x:c r="F16" s="38" t="str">
        <x:v>单年增速可得；应加入多期波动避免高增长掩盖不稳定。</x:v>
      </x:c>
      <x:c r="G16" s="38" t="str">
        <x:v>财报</x:v>
      </x:c>
    </x:row>
    <x:row r="17">
      <x:c r="A17" s="38" t="str">
        <x:v>无形资产减值风险</x:v>
      </x:c>
      <x:c r="B17" s="38" t="str">
        <x:v>财务</x:v>
      </x:c>
      <x:c r="C17" s="38" t="str">
        <x:v>重写</x:v>
      </x:c>
      <x:c r="D17" s="38" t="str">
        <x:v>F6 无形资产与研发资本化风险</x:v>
      </x:c>
      <x:c r="E17" s="38" t="str">
        <x:v>A</x:v>
      </x:c>
      <x:c r="F17" s="38" t="str">
        <x:v>原delta口径不清；应拆存量占比、资本化和减值。</x:v>
      </x:c>
      <x:c r="G17" s="38" t="str">
        <x:v>财报附注</x:v>
      </x:c>
    </x:row>
    <x:row r="18">
      <x:c r="A18" s="38" t="str">
        <x:v>融资成本/WACC</x:v>
      </x:c>
      <x:c r="B18" s="38" t="str">
        <x:v>财务</x:v>
      </x:c>
      <x:c r="C18" s="38" t="str">
        <x:v>替换</x:v>
      </x:c>
      <x:c r="D18" s="38" t="str">
        <x:v>F7 债务负担与利息覆盖 + F8 股权稀释</x:v>
      </x:c>
      <x:c r="E18" s="38" t="str">
        <x:v>A</x:v>
      </x:c>
      <x:c r="F18" s="38" t="str">
        <x:v>WACC不是法定披露且假设敏感；债务与股权融资应分开。</x:v>
      </x:c>
      <x:c r="G18" s="38" t="str">
        <x:v>财报、发行公告</x:v>
      </x:c>
    </x:row>
    <x:row r="19">
      <x:c r="A19" s="38" t="str">
        <x:v>研发投入强度</x:v>
      </x:c>
      <x:c r="B19" s="38" t="str">
        <x:v>财务</x:v>
      </x:c>
      <x:c r="C19" s="38" t="str">
        <x:v>合并</x:v>
      </x:c>
      <x:c r="D19" s="38" t="str">
        <x:v>T1 研发投入强度与趋势</x:v>
      </x:c>
      <x:c r="E19" s="38" t="str">
        <x:v>A</x:v>
      </x:c>
      <x:c r="F19" s="38" t="str">
        <x:v>与技术持续创新重复，归入技术研发维度。</x:v>
      </x:c>
      <x:c r="G19" s="38" t="str">
        <x:v>年报、季报</x:v>
      </x:c>
    </x:row>
    <x:row r="20">
      <x:c r="A20" s="38" t="str">
        <x:v>供应链进口依赖度</x:v>
      </x:c>
      <x:c r="B20" s="38" t="str">
        <x:v>外部</x:v>
      </x:c>
      <x:c r="C20" s="38" t="str">
        <x:v>替换代理</x:v>
      </x:c>
      <x:c r="D20" s="38" t="str">
        <x:v>F4 供应商CR1/CR5 + D2 BOM尽调</x:v>
      </x:c>
      <x:c r="E20" s="38" t="str">
        <x:v>A/C</x:v>
      </x:c>
      <x:c r="F20" s="38" t="str">
        <x:v>供应商境内外和BOM通常不披露；集中度公开可算。</x:v>
      </x:c>
      <x:c r="G20" s="38" t="str">
        <x:v>年报；现场BOM/合同</x:v>
      </x:c>
    </x:row>
    <x:row r="21">
      <x:c r="A21" s="38" t="str">
        <x:v>海外业务收入占比</x:v>
      </x:c>
      <x:c r="B21" s="38" t="str">
        <x:v>外部</x:v>
      </x:c>
      <x:c r="C21" s="38" t="str">
        <x:v>保留</x:v>
      </x:c>
      <x:c r="D21" s="38" t="str">
        <x:v>E2 海外收入暴露度</x:v>
      </x:c>
      <x:c r="E21" s="38" t="str">
        <x:v>A</x:v>
      </x:c>
      <x:c r="F21" s="38" t="str">
        <x:v>年报地区收入可直接计算。</x:v>
      </x:c>
      <x:c r="G21" s="38" t="str">
        <x:v>年报</x:v>
      </x:c>
    </x:row>
    <x:row r="22">
      <x:c r="A22" s="38" t="str">
        <x:v>出口管制与制裁暴露度</x:v>
      </x:c>
      <x:c r="B22" s="38" t="str">
        <x:v>外部</x:v>
      </x:c>
      <x:c r="C22" s="38" t="str">
        <x:v>拆分</x:v>
      </x:c>
      <x:c r="D22" s="38" t="str">
        <x:v>E1 清单命中 + D2 影响比例尽调</x:v>
      </x:c>
      <x:c r="E22" s="38" t="str">
        <x:v>A/C</x:v>
      </x:c>
      <x:c r="F22" s="38" t="str">
        <x:v>名单命中公开可得，受管制技术占比需内部BOM/许可。</x:v>
      </x:c>
      <x:c r="G22" s="38" t="str">
        <x:v>BIS等清单；现场尽调</x:v>
      </x:c>
    </x:row>
    <x:row r="23">
      <x:c r="A23" s="38" t="str">
        <x:v>股权稀释程度</x:v>
      </x:c>
      <x:c r="B23" s="38" t="str">
        <x:v>人员</x:v>
      </x:c>
      <x:c r="C23" s="38" t="str">
        <x:v>拆分重写</x:v>
      </x:c>
      <x:c r="D23" s="38" t="str">
        <x:v>F8 股权融资稀释 + G4 控制权稳定</x:v>
      </x:c>
      <x:c r="E23" s="38" t="str">
        <x:v>A</x:v>
      </x:c>
      <x:c r="F23" s="38" t="str">
        <x:v>融资稀释与控制权风险机制不同，应分开。</x:v>
      </x:c>
      <x:c r="G23" s="38" t="str">
        <x:v>发行公告、年报</x:v>
      </x:c>
    </x:row>
    <x:row r="24">
      <x:c r="A24" s="38" t="str">
        <x:v>高管关联风险暴露度</x:v>
      </x:c>
      <x:c r="B24" s="38" t="str">
        <x:v>人员</x:v>
      </x:c>
      <x:c r="C24" s="38" t="str">
        <x:v>移至尽调/监测</x:v>
      </x:c>
      <x:c r="D24" s="38" t="str">
        <x:v>关联人风险事件台账</x:v>
      </x:c>
      <x:c r="E24" s="38" t="str">
        <x:v>B/C</x:v>
      </x:c>
      <x:c r="F24" s="38" t="str">
        <x:v>需要商业数据库、裁判文书和主体去重，误报率高。</x:v>
      </x:c>
      <x:c r="G24" s="38" t="str">
        <x:v>企查查/天眼查、裁判文书</x:v>
      </x:c>
    </x:row>
    <x:row r="25">
      <x:c r="A25" s="38" t="str">
        <x:v>高管稳定性</x:v>
      </x:c>
      <x:c r="B25" s="38" t="str">
        <x:v>人员</x:v>
      </x:c>
      <x:c r="C25" s="38" t="str">
        <x:v>保留规范</x:v>
      </x:c>
      <x:c r="D25" s="38" t="str">
        <x:v>G5 核心技术人员/关键高管稳定性</x:v>
      </x:c>
      <x:c r="E25" s="38" t="str">
        <x:v>A</x:v>
      </x:c>
      <x:c r="F25" s="38" t="str">
        <x:v>公告与年报可得，按离职/非正常变动计算。</x:v>
      </x:c>
      <x:c r="G25" s="38" t="str">
        <x:v>年报、公告</x:v>
      </x:c>
    </x:row>
    <x:row r="26">
      <x:c r="A26" s="38" t="str">
        <x:v>核心技术性能行业分位</x:v>
      </x:c>
      <x:c r="B26" s="38" t="str">
        <x:v>技术候选</x:v>
      </x:c>
      <x:c r="C26" s="38" t="str">
        <x:v>移至现场尽调</x:v>
      </x:c>
      <x:c r="D26" s="38" t="str">
        <x:v>D1 统一工况性能行业分位</x:v>
      </x:c>
      <x:c r="E26" s="38" t="str">
        <x:v>C</x:v>
      </x:c>
      <x:c r="F26" s="38" t="str">
        <x:v>公开参数测试工况、代际和软件栈不统一。</x:v>
      </x:c>
      <x:c r="G26" s="38" t="str">
        <x:v>第三方测试、客户PoC</x:v>
      </x:c>
    </x:row>
    <x:row r="27">
      <x:c r="A27" s="38" t="str">
        <x:v>核心论文质量与技术转化</x:v>
      </x:c>
      <x:c r="B27" s="38" t="str">
        <x:v>技术候选</x:v>
      </x:c>
      <x:c r="C27" s="38" t="str">
        <x:v>移至加分/尽调</x:v>
      </x:c>
      <x:c r="D27" s="38" t="str">
        <x:v>加分项：高质量论文—产品转化证据</x:v>
      </x:c>
      <x:c r="E27" s="38" t="str">
        <x:v>B/C</x:v>
      </x:c>
      <x:c r="F27" s="38" t="str">
        <x:v>论文到产品的因果映射难以公开验证。</x:v>
      </x:c>
      <x:c r="G27" s="38" t="str">
        <x:v>OpenAlex、论文、专利、产品证据</x:v>
      </x:c>
    </x:row>
    <x:row r="28">
      <x:c r="A28" s="38" t="str">
        <x:v>核心专利质量与技术壁垒</x:v>
      </x:c>
      <x:c r="B28" s="38" t="str">
        <x:v>技术候选</x:v>
      </x:c>
      <x:c r="C28" s="38" t="str">
        <x:v>拆分</x:v>
      </x:c>
      <x:c r="D28" s="38" t="str">
        <x:v>T3基础代理；高质量部分进加分</x:v>
      </x:c>
      <x:c r="E28" s="38" t="str">
        <x:v>B</x:v>
      </x:c>
      <x:c r="F28" s="38" t="str">
        <x:v>有效专利可得，权利要求壁垒需专利法律分析。</x:v>
      </x:c>
      <x:c r="G28" s="38" t="str">
        <x:v>CNIPA/WIPO、法律状态</x:v>
      </x:c>
    </x:row>
    <x:row r="29">
      <x:c r="A29" s="38" t="str">
        <x:v>持续创新能力</x:v>
      </x:c>
      <x:c r="B29" s="38" t="str">
        <x:v>技术候选</x:v>
      </x:c>
      <x:c r="C29" s="38" t="str">
        <x:v>合并</x:v>
      </x:c>
      <x:c r="D29" s="38" t="str">
        <x:v>T1 + T4</x:v>
      </x:c>
      <x:c r="E29" s="38" t="str">
        <x:v>A</x:v>
      </x:c>
      <x:c r="F29" s="38" t="str">
        <x:v>研发投入趋势和项目兑现可公开；避免重复专利/论文评分。</x:v>
      </x:c>
      <x:c r="G29" s="38" t="str">
        <x:v>年报、募投报告</x:v>
      </x:c>
    </x:row>
    <x:row r="30">
      <x:c r="A30" s="38" t="str">
        <x:v>TRL等级</x:v>
      </x:c>
      <x:c r="B30" s="38" t="str">
        <x:v>技术候选</x:v>
      </x:c>
      <x:c r="C30" s="38" t="str">
        <x:v>替换/尽调</x:v>
      </x:c>
      <x:c r="D30" s="38" t="str">
        <x:v>T4 募投兑现；D1/D2尽调</x:v>
      </x:c>
      <x:c r="E30" s="38" t="str">
        <x:v>C</x:v>
      </x:c>
      <x:c r="F30" s="38" t="str">
        <x:v>企业年报不按NASA TRL提供证据化评级。</x:v>
      </x:c>
      <x:c r="G30" s="38" t="str">
        <x:v>募投报告、现场验证</x:v>
      </x:c>
    </x:row>
    <x:row r="31">
      <x:c r="A31" s="38" t="str">
        <x:v>工程化与商业转化率</x:v>
      </x:c>
      <x:c r="B31" s="38" t="str">
        <x:v>技术候选</x:v>
      </x:c>
      <x:c r="C31" s="38" t="str">
        <x:v>替换</x:v>
      </x:c>
      <x:c r="D31" s="38" t="str">
        <x:v>F1/F2商业化结果；T4里程碑</x:v>
      </x:c>
      <x:c r="E31" s="38" t="str">
        <x:v>C</x:v>
      </x:c>
      <x:c r="F31" s="38" t="str">
        <x:v>已结题、终止项目分母不披露。</x:v>
      </x:c>
      <x:c r="G31" s="38" t="str">
        <x:v>财报、项目台账</x:v>
      </x:c>
    </x:row>
    <x:row r="32">
      <x:c r="A32" s="38" t="str">
        <x:v>独立验证与关键测试有效性</x:v>
      </x:c>
      <x:c r="B32" s="38" t="str">
        <x:v>技术候选</x:v>
      </x:c>
      <x:c r="C32" s="38" t="str">
        <x:v>降维</x:v>
      </x:c>
      <x:c r="D32" s="38" t="str">
        <x:v>T5证据分档；D1现场测试</x:v>
      </x:c>
      <x:c r="E32" s="38" t="str">
        <x:v>B/C</x:v>
      </x:c>
      <x:c r="F32" s="38" t="str">
        <x:v>公开只能看到认证/客户验证陈述，无法拿到测试项分母。</x:v>
      </x:c>
      <x:c r="G32" s="38" t="str">
        <x:v>认证机构、客户、现场测试</x:v>
      </x:c>
    </x:row>
    <x:row r="33">
      <x:c r="A33" s="38" t="str">
        <x:v>关键技术自主可控度</x:v>
      </x:c>
      <x:c r="B33" s="38" t="str">
        <x:v>技术候选</x:v>
      </x:c>
      <x:c r="C33" s="38" t="str">
        <x:v>代理+尽调</x:v>
      </x:c>
      <x:c r="D33" s="38" t="str">
        <x:v>E1清单命中、F4集中度、D2 BOM依赖</x:v>
      </x:c>
      <x:c r="E33" s="38" t="str">
        <x:v>A/C</x:v>
      </x:c>
      <x:c r="F33" s="38" t="str">
        <x:v>精确比例需要BOM/SBOM和许可证。</x:v>
      </x:c>
      <x:c r="G33" s="38" t="str">
        <x:v>官方清单、年报、现场尽调</x:v>
      </x:c>
    </x:row>
    <x:row r="34">
      <x:c r="A34" s="38" t="str">
        <x:v>重大技术质量事件指数</x:v>
      </x:c>
      <x:c r="B34" s="38" t="str">
        <x:v>技术候选</x:v>
      </x:c>
      <x:c r="C34" s="38" t="str">
        <x:v>改为红旗</x:v>
      </x:c>
      <x:c r="D34" s="38" t="str">
        <x:v>R3 重大技术质量/安全事故</x:v>
      </x:c>
      <x:c r="E34" s="38" t="str">
        <x:v>B</x:v>
      </x:c>
      <x:c r="F34" s="38" t="str">
        <x:v>缺少统一产销量/运行量分母，适合事件覆盖而非普通加权。</x:v>
      </x:c>
      <x:c r="G34" s="38" t="str">
        <x:v>监管公告、召回、公司公告</x:v>
      </x:c>
    </x:row>
    <x:row r="35">
      <x:c r="A35" s="38" t="str">
        <x:v>（原表缺失）客户集中度</x:v>
      </x:c>
      <x:c r="B35" s="38" t="str">
        <x:v>新增</x:v>
      </x:c>
      <x:c r="C35" s="38" t="str">
        <x:v>新增核心指标</x:v>
      </x:c>
      <x:c r="D35" s="38" t="str">
        <x:v>F3 客户CR1/CR5</x:v>
      </x:c>
      <x:c r="E35" s="38" t="str">
        <x:v>A</x:v>
      </x:c>
      <x:c r="F35" s="38" t="str">
        <x:v>寒武纪CR5高达88.66%，对商业风险解释力高。</x:v>
      </x:c>
      <x:c r="G35" s="38" t="str">
        <x:v>年报</x:v>
      </x:c>
    </x:row>
    <x:row r="36">
      <x:c r="A36" s="38" t="str">
        <x:v>（原表缺失）经营现金流率</x:v>
      </x:c>
      <x:c r="B36" s="38" t="str">
        <x:v>新增</x:v>
      </x:c>
      <x:c r="C36" s="38" t="str">
        <x:v>新增核心指标</x:v>
      </x:c>
      <x:c r="D36" s="38" t="str">
        <x:v>F2 经营现金流率</x:v>
      </x:c>
      <x:c r="E36" s="38" t="str">
        <x:v>A</x:v>
      </x:c>
      <x:c r="F36" s="38" t="str">
        <x:v>检验高增长和利润的现金兑现。</x:v>
      </x:c>
      <x:c r="G36" s="38" t="str">
        <x:v>现金流量表</x:v>
      </x:c>
    </x:row>
    <x:row r="37">
      <x:c r="A37" s="39" t="str">
        <x:v>（原表缺失）应收集中度</x:v>
      </x:c>
      <x:c r="B37" s="39" t="str">
        <x:v>新增</x:v>
      </x:c>
      <x:c r="C37" s="39" t="str">
        <x:v>新增核心指标</x:v>
      </x:c>
      <x:c r="D37" s="39" t="str">
        <x:v>F5 应收及合同资产CR5</x:v>
      </x:c>
      <x:c r="E37" s="39" t="str">
        <x:v>A</x:v>
      </x:c>
      <x:c r="F37" s="39" t="str">
        <x:v>补充客户集中在信用敞口层面的传导。</x:v>
      </x:c>
      <x:c r="G37" s="39" t="str">
        <x:v>财报附注</x:v>
      </x:c>
    </x:row>
  </x:sheetData>
  <x:mergeCells>
    <x:mergeCell ref="A1:G1"/>
    <x:mergeCell ref="A2:G2"/>
  </x:mergeCells>
  <x:conditionalFormatting sqref="C5:C37">
    <x:cfRule type="containsText" dxfId="5" priority="1" operator="containsText" text="保留"/>
    <x:cfRule type="containsText" dxfId="6" priority="2" operator="containsText" text="替换"/>
    <x:cfRule type="containsText" dxfId="7" priority="3" operator="containsText" text="移至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20" hidden="0" customWidth="1"/>
    <x:col min="8" max="8" width="32" hidden="0" customWidth="1"/>
  </x:cols>
  <x:sheetData>
    <x:row r="1" ht="30" customHeight="1">
      <x:c r="A1" s="95" t="str">
        <x:v>评分、缺失值与红旗覆盖规则</x:v>
      </x:c>
      <x:c r="B1" s="95" t="str">
        <x:v>评分、缺失值与红旗覆盖规则</x:v>
      </x:c>
      <x:c r="C1" s="95" t="str">
        <x:v>评分、缺失值与红旗覆盖规则</x:v>
      </x:c>
      <x:c r="D1" s="95" t="str">
        <x:v>评分、缺失值与红旗覆盖规则</x:v>
      </x:c>
      <x:c r="E1" s="95" t="str">
        <x:v>评分、缺失值与红旗覆盖规则</x:v>
      </x:c>
      <x:c r="F1" s="95" t="str">
        <x:v>评分、缺失值与红旗覆盖规则</x:v>
      </x:c>
      <x:c r="G1" s="95" t="str">
        <x:v>评分、缺失值与红旗覆盖规则</x:v>
      </x:c>
      <x:c r="H1" s="95" t="str">
        <x:v>评分、缺失值与红旗覆盖规则</x:v>
      </x:c>
    </x:row>
    <x:row r="2" ht="34" customHeight="1">
      <x:c r="A2" s="96" t="str">
        <x:v>总分仅由18项核心指标构成；叙事监测和尽调项不进入普通加权。使用同业分位时必须保存同业样本、期间和原始值。</x:v>
      </x:c>
      <x:c r="B2" s="96" t="str">
        <x:v>总分仅由18项核心指标构成；叙事监测和尽调项不进入普通加权。使用同业分位时必须保存同业样本、期间和原始值。</x:v>
      </x:c>
      <x:c r="C2" s="96" t="str">
        <x:v>总分仅由18项核心指标构成；叙事监测和尽调项不进入普通加权。使用同业分位时必须保存同业样本、期间和原始值。</x:v>
      </x:c>
      <x:c r="D2" s="96" t="str">
        <x:v>总分仅由18项核心指标构成；叙事监测和尽调项不进入普通加权。使用同业分位时必须保存同业样本、期间和原始值。</x:v>
      </x:c>
      <x:c r="E2" s="96" t="str">
        <x:v>总分仅由18项核心指标构成；叙事监测和尽调项不进入普通加权。使用同业分位时必须保存同业样本、期间和原始值。</x:v>
      </x:c>
      <x:c r="F2" s="96" t="str">
        <x:v>总分仅由18项核心指标构成；叙事监测和尽调项不进入普通加权。使用同业分位时必须保存同业样本、期间和原始值。</x:v>
      </x:c>
      <x:c r="G2" s="96" t="str">
        <x:v>总分仅由18项核心指标构成；叙事监测和尽调项不进入普通加权。使用同业分位时必须保存同业样本、期间和原始值。</x:v>
      </x:c>
      <x:c r="H2" s="96" t="str">
        <x:v>总分仅由18项核心指标构成；叙事监测和尽调项不进入普通加权。使用同业分位时必须保存同业样本、期间和原始值。</x:v>
      </x:c>
    </x:row>
    <x:row r="3">
      <x:c r="A3" s="76"/>
      <x:c r="B3" s="76"/>
      <x:c r="C3" s="76"/>
      <x:c r="D3" s="76"/>
      <x:c r="E3" s="76"/>
      <x:c r="F3" s="76"/>
      <x:c r="G3" s="76"/>
      <x:c r="H3" s="76"/>
    </x:row>
    <x:row r="4" ht="24" customHeight="1">
      <x:c r="A4" s="101" t="str">
        <x:v>A. 可获取性分层</x:v>
      </x:c>
      <x:c r="B4" s="101" t="str">
        <x:v>A. 可获取性分层</x:v>
      </x:c>
      <x:c r="C4" s="101" t="str">
        <x:v>A. 可获取性分层</x:v>
      </x:c>
      <x:c r="D4" s="101" t="str">
        <x:v>A. 可获取性分层</x:v>
      </x:c>
      <x:c r="E4" s="101" t="str">
        <x:v>A. 可获取性分层</x:v>
      </x:c>
      <x:c r="F4" s="101" t="str">
        <x:v>A. 可获取性分层</x:v>
      </x:c>
      <x:c r="G4" s="101" t="str">
        <x:v>A. 可获取性分层</x:v>
      </x:c>
      <x:c r="H4" s="101" t="str">
        <x:v>A. 可获取性分层</x:v>
      </x:c>
    </x:row>
    <x:row r="5" ht="34" customHeight="1">
      <x:c r="A5" s="73" t="str">
        <x:v>等级</x:v>
      </x:c>
      <x:c r="B5" s="73" t="str">
        <x:v>定义</x:v>
      </x:c>
      <x:c r="C5" s="73" t="str">
        <x:v>是否进入核心</x:v>
      </x:c>
      <x:c r="D5" s="73" t="str">
        <x:v>默认证据</x:v>
      </x:c>
      <x:c r="E5" s="73" t="str">
        <x:v>更新成本</x:v>
      </x:c>
      <x:c r="F5" s="73" t="str">
        <x:v>缺失处理</x:v>
      </x:c>
      <x:c r="G5" s="73" t="str">
        <x:v>示例</x:v>
      </x:c>
      <x:c r="H5" s="73" t="str">
        <x:v>备注</x:v>
      </x:c>
    </x:row>
    <x:row r="6">
      <x:c r="A6" s="37" t="str">
        <x:v>A 高可得</x:v>
      </x:c>
      <x:c r="B6" s="37" t="str">
        <x:v>定期报告/公告直接披露或可由披露数值复算</x:v>
      </x:c>
      <x:c r="C6" s="37" t="str">
        <x:v>是</x:v>
      </x:c>
      <x:c r="D6" s="37" t="str">
        <x:v>公司公告+官方监管</x:v>
      </x:c>
      <x:c r="E6" s="37" t="str">
        <x:v>低</x:v>
      </x:c>
      <x:c r="F6" s="37" t="str">
        <x:v>按NA规则</x:v>
      </x:c>
      <x:c r="G6" s="37" t="str">
        <x:v>营收、研发、CR5、人员</x:v>
      </x:c>
      <x:c r="H6" s="37" t="str">
        <x:v>优先指标</x:v>
      </x:c>
    </x:row>
    <x:row r="7">
      <x:c r="A7" s="38" t="str">
        <x:v>B 中可得</x:v>
      </x:c>
      <x:c r="B7" s="38" t="str">
        <x:v>需官方外部数据库查询或固定文本加工</x:v>
      </x:c>
      <x:c r="C7" s="38" t="str">
        <x:v>可；降低权重/做事件项</x:v>
      </x:c>
      <x:c r="D7" s="38" t="str">
        <x:v>官方网站+可复现检索</x:v>
      </x:c>
      <x:c r="E7" s="38" t="str">
        <x:v>中</x:v>
      </x:c>
      <x:c r="F7" s="38" t="str">
        <x:v>保留查询日志</x:v>
      </x:c>
      <x:c r="G7" s="38" t="str">
        <x:v>问询、专利状态、叙事</x:v>
      </x:c>
      <x:c r="H7" s="38" t="str">
        <x:v>需人工抽检</x:v>
      </x:c>
    </x:row>
    <x:row r="8">
      <x:c r="A8" s="39" t="str">
        <x:v>C 低可得</x:v>
      </x:c>
      <x:c r="B8" s="39" t="str">
        <x:v>需内部BOM、客户验收、付费库或统一测试</x:v>
      </x:c>
      <x:c r="C8" s="39" t="str">
        <x:v>否；转尽调/监测</x:v>
      </x:c>
      <x:c r="D8" s="39" t="str">
        <x:v>现场材料/合同/测试</x:v>
      </x:c>
      <x:c r="E8" s="39" t="str">
        <x:v>高</x:v>
      </x:c>
      <x:c r="F8" s="39" t="str">
        <x:v>不得硬算</x:v>
      </x:c>
      <x:c r="G8" s="39" t="str">
        <x:v>TRL、BOM依赖、测试通过率</x:v>
      </x:c>
      <x:c r="H8" s="39" t="str">
        <x:v>不进入公开总分</x:v>
      </x:c>
    </x:row>
    <x:row r="9">
      <x:c r="A9" s="76"/>
      <x:c r="B9" s="76"/>
      <x:c r="C9" s="76"/>
      <x:c r="D9" s="76"/>
      <x:c r="E9" s="76"/>
      <x:c r="F9" s="76"/>
      <x:c r="G9" s="76"/>
      <x:c r="H9" s="76"/>
    </x:row>
    <x:row r="10" ht="24" customHeight="1">
      <x:c r="A10" s="101" t="str">
        <x:v>B. 核心指标风险分（0—100，越高风险越高）</x:v>
      </x:c>
      <x:c r="B10" s="101" t="str">
        <x:v>B. 核心指标风险分（0—100，越高风险越高）</x:v>
      </x:c>
      <x:c r="C10" s="101" t="str">
        <x:v>B. 核心指标风险分（0—100，越高风险越高）</x:v>
      </x:c>
      <x:c r="D10" s="101" t="str">
        <x:v>B. 核心指标风险分（0—100，越高风险越高）</x:v>
      </x:c>
      <x:c r="E10" s="101" t="str">
        <x:v>B. 核心指标风险分（0—100，越高风险越高）</x:v>
      </x:c>
      <x:c r="F10" s="101" t="str">
        <x:v>B. 核心指标风险分（0—100，越高风险越高）</x:v>
      </x:c>
      <x:c r="G10" s="101" t="str">
        <x:v>B. 核心指标风险分（0—100，越高风险越高）</x:v>
      </x:c>
      <x:c r="H10" s="101" t="str">
        <x:v>B. 核心指标风险分（0—100，越高风险越高）</x:v>
      </x:c>
    </x:row>
    <x:row r="11" ht="34" customHeight="1">
      <x:c r="A11" s="73" t="str">
        <x:v>类型</x:v>
      </x:c>
      <x:c r="B11" s="73" t="str">
        <x:v>推荐算法</x:v>
      </x:c>
      <x:c r="C11" s="73" t="str">
        <x:v>0—25低</x:v>
      </x:c>
      <x:c r="D11" s="73" t="str">
        <x:v>25—50中低</x:v>
      </x:c>
      <x:c r="E11" s="73" t="str">
        <x:v>50—75中高</x:v>
      </x:c>
      <x:c r="F11" s="73" t="str">
        <x:v>75—100高</x:v>
      </x:c>
      <x:c r="G11" s="73" t="str">
        <x:v>缺失</x:v>
      </x:c>
      <x:c r="H11" s="73" t="str">
        <x:v>例子</x:v>
      </x:c>
    </x:row>
    <x:row r="12">
      <x:c r="A12" s="37" t="str">
        <x:v>负向连续变量</x:v>
      </x:c>
      <x:c r="B12" s="37" t="str">
        <x:v>风险分=同业百分位</x:v>
      </x:c>
      <x:c r="C12" s="37" t="str">
        <x:v>低分位</x:v>
      </x:c>
      <x:c r="D12" s="37" t="str">
        <x:v>中低分位</x:v>
      </x:c>
      <x:c r="E12" s="37" t="str">
        <x:v>中高分位</x:v>
      </x:c>
      <x:c r="F12" s="37" t="str">
        <x:v>高分位</x:v>
      </x:c>
      <x:c r="G12" s="37" t="str">
        <x:v>NA</x:v>
      </x:c>
      <x:c r="H12" s="37" t="str">
        <x:v>客户/供应商集中度</x:v>
      </x:c>
    </x:row>
    <x:row r="13">
      <x:c r="A13" s="38" t="str">
        <x:v>正向连续变量</x:v>
      </x:c>
      <x:c r="B13" s="38" t="str">
        <x:v>风险分=100-同业百分位</x:v>
      </x:c>
      <x:c r="C13" s="38" t="str">
        <x:v>高分位</x:v>
      </x:c>
      <x:c r="D13" s="38" t="str">
        <x:v>中高分位</x:v>
      </x:c>
      <x:c r="E13" s="38" t="str">
        <x:v>中低分位</x:v>
      </x:c>
      <x:c r="F13" s="38" t="str">
        <x:v>低分位</x:v>
      </x:c>
      <x:c r="G13" s="38" t="str">
        <x:v>NA</x:v>
      </x:c>
      <x:c r="H13" s="38" t="str">
        <x:v>研发人员、专利代理</x:v>
      </x:c>
    </x:row>
    <x:row r="14">
      <x:c r="A14" s="38" t="str">
        <x:v>双尾变量</x:v>
      </x:c>
      <x:c r="B14" s="38" t="str">
        <x:v>按行业目标区间计分</x:v>
      </x:c>
      <x:c r="C14" s="38" t="str">
        <x:v>目标区间</x:v>
      </x:c>
      <x:c r="D14" s="38" t="str">
        <x:v>轻度偏离</x:v>
      </x:c>
      <x:c r="E14" s="38" t="str">
        <x:v>明显偏离</x:v>
      </x:c>
      <x:c r="F14" s="38" t="str">
        <x:v>极端偏离</x:v>
      </x:c>
      <x:c r="G14" s="38" t="str">
        <x:v>NA</x:v>
      </x:c>
      <x:c r="H14" s="38" t="str">
        <x:v>研发投入强度</x:v>
      </x:c>
    </x:row>
    <x:row r="15">
      <x:c r="A15" s="39" t="str">
        <x:v>事件变量</x:v>
      </x:c>
      <x:c r="B15" s="39" t="str">
        <x:v>按0/25/50/100或严重性表计分</x:v>
      </x:c>
      <x:c r="C15" s="39" t="str">
        <x:v>无事件</x:v>
      </x:c>
      <x:c r="D15" s="39" t="str">
        <x:v>轻微</x:v>
      </x:c>
      <x:c r="E15" s="39" t="str">
        <x:v>较重</x:v>
      </x:c>
      <x:c r="F15" s="39" t="str">
        <x:v>重大/持续</x:v>
      </x:c>
      <x:c r="G15" s="39" t="str">
        <x:v>NA</x:v>
      </x:c>
      <x:c r="H15" s="39" t="str">
        <x:v>处罚、问询、诉讼</x:v>
      </x:c>
    </x:row>
    <x:row r="16">
      <x:c r="A16" s="76"/>
      <x:c r="B16" s="76"/>
      <x:c r="C16" s="76"/>
      <x:c r="D16" s="76"/>
      <x:c r="E16" s="76"/>
      <x:c r="F16" s="76"/>
      <x:c r="G16" s="76"/>
      <x:c r="H16" s="76"/>
    </x:row>
    <x:row r="17" ht="24" customHeight="1">
      <x:c r="A17" s="101" t="str">
        <x:v>C. 总分、缺失值和有效性</x:v>
      </x:c>
      <x:c r="B17" s="101" t="str">
        <x:v>C. 总分、缺失值和有效性</x:v>
      </x:c>
      <x:c r="C17" s="101" t="str">
        <x:v>C. 总分、缺失值和有效性</x:v>
      </x:c>
      <x:c r="D17" s="101" t="str">
        <x:v>C. 总分、缺失值和有效性</x:v>
      </x:c>
      <x:c r="E17" s="101" t="str">
        <x:v>C. 总分、缺失值和有效性</x:v>
      </x:c>
      <x:c r="F17" s="101" t="str">
        <x:v>C. 总分、缺失值和有效性</x:v>
      </x:c>
      <x:c r="G17" s="101" t="str">
        <x:v>C. 总分、缺失值和有效性</x:v>
      </x:c>
      <x:c r="H17" s="101" t="str">
        <x:v>C. 总分、缺失值和有效性</x:v>
      </x:c>
    </x:row>
    <x:row r="18" ht="34" customHeight="1">
      <x:c r="A18" s="73" t="str">
        <x:v>规则</x:v>
      </x:c>
      <x:c r="B18" s="73" t="str">
        <x:v>公式/操作</x:v>
      </x:c>
      <x:c r="C18" s="73" t="str">
        <x:v>通过条件</x:v>
      </x:c>
      <x:c r="D18" s="73" t="str">
        <x:v>失败条件</x:v>
      </x:c>
      <x:c r="E18" s="73" t="str">
        <x:v>状态输出</x:v>
      </x:c>
      <x:c r="F18" s="73" t="str">
        <x:v>处理建议</x:v>
      </x:c>
      <x:c r="G18" s="73" t="str"/>
      <x:c r="H18" s="73" t="str"/>
    </x:row>
    <x:row r="19">
      <x:c r="A19" s="37" t="str">
        <x:v>总分</x:v>
      </x:c>
      <x:c r="B19" s="37" t="str">
        <x:v>SUMPRODUCT(可用权重,指标风险分)/SUM(可用权重)</x:v>
      </x:c>
      <x:c r="C19" s="37" t="str">
        <x:v>有效权重≥85%</x:v>
      </x:c>
      <x:c r="D19" s="37" t="str">
        <x:v>有效权重&lt;85%</x:v>
      </x:c>
      <x:c r="E19" s="37" t="str">
        <x:v>有效/不可评分</x:v>
      </x:c>
      <x:c r="F19" s="37" t="str">
        <x:v>补齐外部查询</x:v>
      </x:c>
      <x:c r="G19" s="37" t="str"/>
      <x:c r="H19" s="37" t="str"/>
    </x:row>
    <x:row r="20">
      <x:c r="A20" s="38" t="str">
        <x:v>维度缺失</x:v>
      </x:c>
      <x:c r="B20" s="38" t="str">
        <x:v>仅在维度内重标可用权重</x:v>
      </x:c>
      <x:c r="C20" s="38" t="str">
        <x:v>缺失权重≤维度30%</x:v>
      </x:c>
      <x:c r="D20" s="38" t="str">
        <x:v>&gt;30%</x:v>
      </x:c>
      <x:c r="E20" s="38" t="str">
        <x:v>可重标/不可评分</x:v>
      </x:c>
      <x:c r="F20" s="38" t="str">
        <x:v>不得跨维度补偿</x:v>
      </x:c>
      <x:c r="G20" s="38" t="str"/>
      <x:c r="H20" s="38" t="str"/>
    </x:row>
    <x:row r="21">
      <x:c r="A21" s="38" t="str">
        <x:v>事件缺失</x:v>
      </x:c>
      <x:c r="B21" s="38" t="str">
        <x:v>未检出≠0；仅官方检索确认后写0</x:v>
      </x:c>
      <x:c r="C21" s="38" t="str">
        <x:v>有检索证据</x:v>
      </x:c>
      <x:c r="D21" s="38" t="str">
        <x:v>仅搜索引擎结果</x:v>
      </x:c>
      <x:c r="E21" s="38" t="str">
        <x:v>已核验/待核验</x:v>
      </x:c>
      <x:c r="F21" s="38" t="str">
        <x:v>保存检索日期和范围</x:v>
      </x:c>
      <x:c r="G21" s="38" t="str"/>
      <x:c r="H21" s="38" t="str"/>
    </x:row>
    <x:row r="22">
      <x:c r="A22" s="39" t="str">
        <x:v>年度可比</x:v>
      </x:c>
      <x:c r="B22" s="39" t="str">
        <x:v>口径变更时同时重述历史值</x:v>
      </x:c>
      <x:c r="C22" s="39" t="str">
        <x:v>口径一致</x:v>
      </x:c>
      <x:c r="D22" s="39" t="str">
        <x:v>混合口径</x:v>
      </x:c>
      <x:c r="E22" s="39" t="str">
        <x:v>可比/不可比</x:v>
      </x:c>
      <x:c r="F22" s="39" t="str">
        <x:v>保留原始披露口径</x:v>
      </x:c>
      <x:c r="G22" s="39" t="str"/>
      <x:c r="H22" s="39" t="str"/>
    </x:row>
    <x:row r="23">
      <x:c r="A23" s="76"/>
      <x:c r="B23" s="76"/>
      <x:c r="C23" s="76"/>
      <x:c r="D23" s="76"/>
      <x:c r="E23" s="76"/>
      <x:c r="F23" s="76"/>
      <x:c r="G23" s="76"/>
      <x:c r="H23" s="76"/>
    </x:row>
    <x:row r="24" ht="24" customHeight="1">
      <x:c r="A24" s="101" t="str">
        <x:v>D. 红旗覆盖</x:v>
      </x:c>
      <x:c r="B24" s="101" t="str">
        <x:v>D. 红旗覆盖</x:v>
      </x:c>
      <x:c r="C24" s="101" t="str">
        <x:v>D. 红旗覆盖</x:v>
      </x:c>
      <x:c r="D24" s="101" t="str">
        <x:v>D. 红旗覆盖</x:v>
      </x:c>
      <x:c r="E24" s="101" t="str">
        <x:v>D. 红旗覆盖</x:v>
      </x:c>
      <x:c r="F24" s="101" t="str">
        <x:v>D. 红旗覆盖</x:v>
      </x:c>
      <x:c r="G24" s="101" t="str">
        <x:v>D. 红旗覆盖</x:v>
      </x:c>
      <x:c r="H24" s="101" t="str">
        <x:v>D. 红旗覆盖</x:v>
      </x:c>
    </x:row>
    <x:row r="25" ht="34" customHeight="1">
      <x:c r="A25" s="73" t="str">
        <x:v>红旗</x:v>
      </x:c>
      <x:c r="B25" s="73" t="str">
        <x:v>触发条件</x:v>
      </x:c>
      <x:c r="C25" s="73" t="str">
        <x:v>覆盖效果</x:v>
      </x:c>
      <x:c r="D25" s="73" t="str">
        <x:v>解除条件</x:v>
      </x:c>
      <x:c r="E25" s="73" t="str">
        <x:v>证据要求</x:v>
      </x:c>
      <x:c r="F25" s="73" t="str">
        <x:v>寒武纪样例</x:v>
      </x:c>
      <x:c r="G25" s="73" t="str">
        <x:v>当前状态</x:v>
      </x:c>
      <x:c r="H25" s="73" t="str">
        <x:v>说明</x:v>
      </x:c>
    </x:row>
    <x:row r="26">
      <x:c r="A26" s="37" t="str">
        <x:v>出口管制/制裁</x:v>
      </x:c>
      <x:c r="B26" s="37" t="str">
        <x:v>关键主体在严格限制清单中</x:v>
      </x:c>
      <x:c r="C26" s="37" t="str">
        <x:v>外部环境直接高风险；总报告标红</x:v>
      </x:c>
      <x:c r="D26" s="37" t="str">
        <x:v>官方除名/条件实质缓解</x:v>
      </x:c>
      <x:c r="E26" s="37" t="str">
        <x:v>官方清单</x:v>
      </x:c>
      <x:c r="F26" s="37" t="str">
        <x:v>BIS命中</x:v>
      </x:c>
      <x:c r="G26" s="37" t="str">
        <x:v>触发</x:v>
      </x:c>
      <x:c r="H26" s="37" t="str">
        <x:v>需持续滚动</x:v>
      </x:c>
    </x:row>
    <x:row r="27">
      <x:c r="A27" s="38" t="str">
        <x:v>重大监管/舞弊</x:v>
      </x:c>
      <x:c r="B27" s="38" t="str">
        <x:v>重大处罚、财务造假、退市风险</x:v>
      </x:c>
      <x:c r="C27" s="38" t="str">
        <x:v>整体高风险</x:v>
      </x:c>
      <x:c r="D27" s="38" t="str">
        <x:v>监管结论撤销/整改验证</x:v>
      </x:c>
      <x:c r="E27" s="38" t="str">
        <x:v>监管决定</x:v>
      </x:c>
      <x:c r="F27" s="38" t="str">
        <x:v>近三年证券处罚未触发</x:v>
      </x:c>
      <x:c r="G27" s="38" t="str">
        <x:v>未触发</x:v>
      </x:c>
      <x:c r="H27" s="38" t="str">
        <x:v>仍需跨监管检索</x:v>
      </x:c>
    </x:row>
    <x:row r="28">
      <x:c r="A28" s="38" t="str">
        <x:v>重大质量/安全事故</x:v>
      </x:c>
      <x:c r="B28" s="38" t="str">
        <x:v>重大召回、停运、泄露、伤亡</x:v>
      </x:c>
      <x:c r="C28" s="38" t="str">
        <x:v>技术维度直接高风险</x:v>
      </x:c>
      <x:c r="D28" s="38" t="str">
        <x:v>整改及外部验证</x:v>
      </x:c>
      <x:c r="E28" s="38" t="str">
        <x:v>官方/客户/独立报告</x:v>
      </x:c>
      <x:c r="F28" s="38" t="str">
        <x:v>公开年报未形成指数</x:v>
      </x:c>
      <x:c r="G28" s="38" t="str">
        <x:v>待检索</x:v>
      </x:c>
      <x:c r="H28" s="38" t="str">
        <x:v>未检出不能写0</x:v>
      </x:c>
    </x:row>
    <x:row r="29">
      <x:c r="A29" s="39" t="str">
        <x:v>控制权失稳</x:v>
      </x:c>
      <x:c r="B29" s="39" t="str">
        <x:v>实控人争议、冻结、重大质押/变更</x:v>
      </x:c>
      <x:c r="C29" s="39" t="str">
        <x:v>治理维度直接高风险</x:v>
      </x:c>
      <x:c r="D29" s="39" t="str">
        <x:v>控制权恢复稳定</x:v>
      </x:c>
      <x:c r="E29" s="39" t="str">
        <x:v>公告/登记</x:v>
      </x:c>
      <x:c r="F29" s="39" t="str">
        <x:v>控制口径35.62%，主要持股无质押</x:v>
      </x:c>
      <x:c r="G29" s="39" t="str">
        <x:v>未触发</x:v>
      </x:c>
      <x:c r="H29" s="39" t="str">
        <x:v>持续监控</x:v>
      </x:c>
    </x:row>
  </x:sheetData>
  <x:mergeCells>
    <x:mergeCell ref="A1:H1"/>
    <x:mergeCell ref="A2:H2"/>
    <x:mergeCell ref="A4:H4"/>
    <x:mergeCell ref="A10:H10"/>
    <x:mergeCell ref="A17:H17"/>
    <x:mergeCell ref="A24:H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58" hidden="0" customWidth="1"/>
    <x:col min="5" max="5" width="42" hidden="0" customWidth="1"/>
    <x:col min="6" max="6" width="17" hidden="0" customWidth="1"/>
    <x:col min="7" max="7" width="15" hidden="0" customWidth="1"/>
    <x:col min="8" max="8" width="38" hidden="0" customWidth="1"/>
  </x:cols>
  <x:sheetData>
    <x:row r="1" ht="30" customHeight="1">
      <x:c r="A1" s="95" t="str">
        <x:v>来源与证据台账</x:v>
      </x:c>
      <x:c r="B1" s="95" t="str">
        <x:v>来源与证据台账</x:v>
      </x:c>
      <x:c r="C1" s="95" t="str">
        <x:v>来源与证据台账</x:v>
      </x:c>
      <x:c r="D1" s="95" t="str">
        <x:v>来源与证据台账</x:v>
      </x:c>
      <x:c r="E1" s="95" t="str">
        <x:v>来源与证据台账</x:v>
      </x:c>
      <x:c r="F1" s="95" t="str">
        <x:v>来源与证据台账</x:v>
      </x:c>
      <x:c r="G1" s="95" t="str">
        <x:v>来源与证据台账</x:v>
      </x:c>
      <x:c r="H1" s="95" t="str">
        <x:v>来源与证据台账</x:v>
      </x:c>
    </x:row>
    <x:row r="2" ht="34" customHeight="1">
      <x:c r="A2" s="96" t="str">
        <x:v>链接按公开原始来源优先；S1为用于计算2025样例的完整年度报告镜像，S2/S3/S4为上交所官方披露入口。检索日期：2026-08-12。</x:v>
      </x:c>
      <x:c r="B2" s="96" t="str">
        <x:v>链接按公开原始来源优先；S1为用于计算2025样例的完整年度报告镜像，S2/S3/S4为上交所官方披露入口。检索日期：2026-08-12。</x:v>
      </x:c>
      <x:c r="C2" s="96" t="str">
        <x:v>链接按公开原始来源优先；S1为用于计算2025样例的完整年度报告镜像，S2/S3/S4为上交所官方披露入口。检索日期：2026-08-12。</x:v>
      </x:c>
      <x:c r="D2" s="96" t="str">
        <x:v>链接按公开原始来源优先；S1为用于计算2025样例的完整年度报告镜像，S2/S3/S4为上交所官方披露入口。检索日期：2026-08-12。</x:v>
      </x:c>
      <x:c r="E2" s="96" t="str">
        <x:v>链接按公开原始来源优先；S1为用于计算2025样例的完整年度报告镜像，S2/S3/S4为上交所官方披露入口。检索日期：2026-08-12。</x:v>
      </x:c>
      <x:c r="F2" s="96" t="str">
        <x:v>链接按公开原始来源优先；S1为用于计算2025样例的完整年度报告镜像，S2/S3/S4为上交所官方披露入口。检索日期：2026-08-12。</x:v>
      </x:c>
      <x:c r="G2" s="96" t="str">
        <x:v>链接按公开原始来源优先；S1为用于计算2025样例的完整年度报告镜像，S2/S3/S4为上交所官方披露入口。检索日期：2026-08-12。</x:v>
      </x:c>
      <x:c r="H2" s="96" t="str">
        <x:v>链接按公开原始来源优先；S1为用于计算2025样例的完整年度报告镜像，S2/S3/S4为上交所官方披露入口。检索日期：2026-08-12。</x:v>
      </x:c>
    </x:row>
    <x:row r="3">
      <x:c r="A3" s="76"/>
      <x:c r="B3" s="76"/>
      <x:c r="C3" s="76"/>
      <x:c r="D3" s="76"/>
      <x:c r="E3" s="76"/>
      <x:c r="F3" s="76"/>
      <x:c r="G3" s="76"/>
      <x:c r="H3" s="76"/>
    </x:row>
    <x:row r="4" ht="34" customHeight="1">
      <x:c r="A4" s="73" t="str">
        <x:v>来源ID</x:v>
      </x:c>
      <x:c r="B4" s="73" t="str">
        <x:v>来源名称</x:v>
      </x:c>
      <x:c r="C4" s="73" t="str">
        <x:v>期间/日期</x:v>
      </x:c>
      <x:c r="D4" s="73" t="str">
        <x:v>URL</x:v>
      </x:c>
      <x:c r="E4" s="73" t="str">
        <x:v>支持的指标/参数</x:v>
      </x:c>
      <x:c r="F4" s="73" t="str">
        <x:v>来源级别</x:v>
      </x:c>
      <x:c r="G4" s="73" t="str">
        <x:v>检索日期</x:v>
      </x:c>
      <x:c r="H4" s="73" t="str">
        <x:v>备注</x:v>
      </x:c>
    </x:row>
    <x:row r="5">
      <x:c r="A5" s="37" t="str">
        <x:v>S1</x:v>
      </x:c>
      <x:c r="B5" s="37" t="str">
        <x:v>中科寒武纪科技股份有限公司2025年年度报告（全文镜像）</x:v>
      </x:c>
      <x:c r="C5" s="37" t="str">
        <x:v>2025年度</x:v>
      </x:c>
      <x:c r="D5" s="90" t="str">
        <x:v>https://notice.10jqka.com.cn/api/pdf/7250c027bb954c43.pdf</x:v>
      </x:c>
      <x:c r="E5" s="37" t="str">
        <x:v>收入、研发、人员、专利、客户/供应商、诉讼、股权、财务报表、募投进度</x:v>
      </x:c>
      <x:c r="F5" s="37" t="str">
        <x:v>公司法定披露文件镜像</x:v>
      </x:c>
      <x:c r="G5" s="37" t="str">
        <x:v>2026-08-12</x:v>
      </x:c>
      <x:c r="H5" s="37" t="str">
        <x:v>样例计算主来源；应与上交所披露版本交叉核验</x:v>
      </x:c>
    </x:row>
    <x:row r="6">
      <x:c r="A6" s="38" t="str">
        <x:v>S2</x:v>
      </x:c>
      <x:c r="B6" s="38" t="str">
        <x:v>寒武纪2025年年度报告摘要（上交所）</x:v>
      </x:c>
      <x:c r="C6" s="38" t="str">
        <x:v>2026-03-13</x:v>
      </x:c>
      <x:c r="D6" s="91" t="str">
        <x:v>https://static.sse.com.cn/disclosure/listedinfo/announcement/c/new/2026-03-13/688256_20260313_AC0V.pdf</x:v>
      </x:c>
      <x:c r="E6" s="38" t="str">
        <x:v>营业收入、净利润、主要财务数据</x:v>
      </x:c>
      <x:c r="F6" s="38" t="str">
        <x:v>官方</x:v>
      </x:c>
      <x:c r="G6" s="38" t="str">
        <x:v>2026-08-12</x:v>
      </x:c>
      <x:c r="H6" s="38" t="str">
        <x:v>摘要用于关键财务数据交叉核验</x:v>
      </x:c>
    </x:row>
    <x:row r="7">
      <x:c r="A7" s="38" t="str">
        <x:v>S3</x:v>
      </x:c>
      <x:c r="B7" s="38" t="str">
        <x:v>寒武纪2026年半年度报告（上交所）</x:v>
      </x:c>
      <x:c r="C7" s="38" t="str">
        <x:v>2026-08-08</x:v>
      </x:c>
      <x:c r="D7" s="91" t="str">
        <x:v>https://static.sse.com.cn/disclosure/listedinfo/announcement/c/new/2026-08-08/688256_20260808_TUNG.pdf</x:v>
      </x:c>
      <x:c r="E7" s="38" t="str">
        <x:v>后续滚动更新：半年财务、经营与风险信息</x:v>
      </x:c>
      <x:c r="F7" s="38" t="str">
        <x:v>官方</x:v>
      </x:c>
      <x:c r="G7" s="38" t="str">
        <x:v>2026-08-12</x:v>
      </x:c>
      <x:c r="H7" s="38" t="str">
        <x:v>本工作簿核心样例仍统一采用2025年度口径</x:v>
      </x:c>
    </x:row>
    <x:row r="8">
      <x:c r="A8" s="38" t="str">
        <x:v>S4</x:v>
      </x:c>
      <x:c r="B8" s="38" t="str">
        <x:v>寒武纪投资者关系/定期报告入口</x:v>
      </x:c>
      <x:c r="C8" s="38" t="str">
        <x:v>持续更新</x:v>
      </x:c>
      <x:c r="D8" s="91" t="str">
        <x:v>https://www.cambricon.com/index.php?m=content&amp;c=index&amp;a=lists&amp;catid=326</x:v>
      </x:c>
      <x:c r="E8" s="38" t="str">
        <x:v>公司公告、定期报告入口</x:v>
      </x:c>
      <x:c r="F8" s="38" t="str">
        <x:v>公司官网</x:v>
      </x:c>
      <x:c r="G8" s="38" t="str">
        <x:v>2026-08-12</x:v>
      </x:c>
      <x:c r="H8" s="38" t="str">
        <x:v>页面内嵌上证公告列表</x:v>
      </x:c>
    </x:row>
    <x:row r="9">
      <x:c r="A9" s="38" t="str">
        <x:v>S5</x:v>
      </x:c>
      <x:c r="B9" s="38" t="str">
        <x:v>上海证券交易所监管问询</x:v>
      </x:c>
      <x:c r="C9" s="38" t="str">
        <x:v>持续更新</x:v>
      </x:c>
      <x:c r="D9" s="91" t="str">
        <x:v>https://www.sse.com.cn/disclosure/credibility/supervision/inquiries/</x:v>
      </x:c>
      <x:c r="E9" s="38" t="str">
        <x:v>交易所问询函次数和类型</x:v>
      </x:c>
      <x:c r="F9" s="38" t="str">
        <x:v>官方</x:v>
      </x:c>
      <x:c r="G9" s="38" t="str">
        <x:v>2026-08-12</x:v>
      </x:c>
      <x:c r="H9" s="38" t="str">
        <x:v>必须按688256和日期范围结构化查询</x:v>
      </x:c>
    </x:row>
    <x:row r="10">
      <x:c r="A10" s="38" t="str">
        <x:v>S6</x:v>
      </x:c>
      <x:c r="B10" s="38" t="str">
        <x:v>美国BIS Entity List / EAR Part 744</x:v>
      </x:c>
      <x:c r="C10" s="38" t="str">
        <x:v>持续更新</x:v>
      </x:c>
      <x:c r="D10" s="91" t="str">
        <x:v>https://www.bis.gov/regulations/ear/744</x:v>
      </x:c>
      <x:c r="E10" s="38" t="str">
        <x:v>寒武纪及关联主体清单命中、许可政策</x:v>
      </x:c>
      <x:c r="F10" s="38" t="str">
        <x:v>官方</x:v>
      </x:c>
      <x:c r="G10" s="38" t="str">
        <x:v>2026-08-12</x:v>
      </x:c>
      <x:c r="H10" s="38" t="str">
        <x:v>公开条目可检出公司及多家关联主体</x:v>
      </x:c>
    </x:row>
    <x:row r="11">
      <x:c r="A11" s="38" t="str">
        <x:v>S7</x:v>
      </x:c>
      <x:c r="B11" s="38" t="str">
        <x:v>BIS Entity List CSV下载入口</x:v>
      </x:c>
      <x:c r="C11" s="38" t="str">
        <x:v>持续更新</x:v>
      </x:c>
      <x:c r="D11" s="91" t="str">
        <x:v>https://www.bis.gov/node/20522</x:v>
      </x:c>
      <x:c r="E11" s="38" t="str">
        <x:v>批量精确匹配名单、别名和地址</x:v>
      </x:c>
      <x:c r="F11" s="38" t="str">
        <x:v>官方</x:v>
      </x:c>
      <x:c r="G11" s="38" t="str">
        <x:v>2026-08-12</x:v>
      </x:c>
      <x:c r="H11" s="38" t="str">
        <x:v>建议生产系统按日/周增量更新</x:v>
      </x:c>
    </x:row>
    <x:row r="12">
      <x:c r="A12" s="38" t="str">
        <x:v>S8</x:v>
      </x:c>
      <x:c r="B12" s="38" t="str">
        <x:v>上海证券交易所上市公司公告入口</x:v>
      </x:c>
      <x:c r="C12" s="38" t="str">
        <x:v>持续更新</x:v>
      </x:c>
      <x:c r="D12" s="91" t="str">
        <x:v>https://www.sse.com.cn/assortment/stock/list/info/announcement/index.shtml?productId=688256</x:v>
      </x:c>
      <x:c r="E12" s="38" t="str">
        <x:v>定期报告、诉讼、发行、股份变动、人员变动</x:v>
      </x:c>
      <x:c r="F12" s="38" t="str">
        <x:v>官方</x:v>
      </x:c>
      <x:c r="G12" s="38" t="str">
        <x:v>2026-08-12</x:v>
      </x:c>
      <x:c r="H12" s="38" t="str">
        <x:v>按证券代码检索</x:v>
      </x:c>
    </x:row>
    <x:row r="13">
      <x:c r="A13" s="39" t="str">
        <x:v>S9</x:v>
      </x:c>
      <x:c r="B13" s="39" t="str">
        <x:v>WIPO PATENTSCOPE</x:v>
      </x:c>
      <x:c r="C13" s="39" t="str">
        <x:v>持续更新</x:v>
      </x:c>
      <x:c r="D13" s="92" t="str">
        <x:v>https://patentscope.wipo.int/search/en/search.jsf</x:v>
      </x:c>
      <x:c r="E13" s="39" t="str">
        <x:v>海外专利族、PCT、法律状态辅助核验</x:v>
      </x:c>
      <x:c r="F13" s="39" t="str">
        <x:v>官方/国际组织</x:v>
      </x:c>
      <x:c r="G13" s="39" t="str">
        <x:v>2026-08-12</x:v>
      </x:c>
      <x:c r="H13" s="39" t="str">
        <x:v>用于T3质量扩展，不是本次基础样例的必要条件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4" hidden="0" customWidth="1"/>
    <x:col min="4" max="4" width="48" hidden="0" customWidth="1"/>
    <x:col min="5" max="5" width="42" hidden="0" customWidth="1"/>
    <x:col min="6" max="6" width="42" hidden="0" customWidth="1"/>
    <x:col min="7" max="7" width="38" hidden="0" customWidth="1"/>
  </x:cols>
  <x:sheetData>
    <x:row r="1" ht="30" customHeight="1">
      <x:c r="A1" s="95" t="str">
        <x:v>加分项（不抵消红旗、不替代核心风险分）</x:v>
      </x:c>
      <x:c r="B1" s="95" t="str">
        <x:v>加分项（不抵消红旗、不替代核心风险分）</x:v>
      </x:c>
      <x:c r="C1" s="95" t="str">
        <x:v>加分项（不抵消红旗、不替代核心风险分）</x:v>
      </x:c>
      <x:c r="D1" s="95" t="str">
        <x:v>加分项（不抵消红旗、不替代核心风险分）</x:v>
      </x:c>
      <x:c r="E1" s="95" t="str">
        <x:v>加分项（不抵消红旗、不替代核心风险分）</x:v>
      </x:c>
      <x:c r="F1" s="95" t="str">
        <x:v>加分项（不抵消红旗、不替代核心风险分）</x:v>
      </x:c>
      <x:c r="G1" s="95" t="str">
        <x:v>加分项（不抵消红旗、不替代核心风险分）</x:v>
      </x:c>
    </x:row>
    <x:row r="2" ht="34" customHeight="1">
      <x:c r="A2" s="96" t="str">
        <x:v>累计融资金额从加分项删除：上市公司融资更适合在“稀释与资金依赖”中作为风险变量。加分项总上限建议15分。</x:v>
      </x:c>
      <x:c r="B2" s="96" t="str">
        <x:v>累计融资金额从加分项删除：上市公司融资更适合在“稀释与资金依赖”中作为风险变量。加分项总上限建议15分。</x:v>
      </x:c>
      <x:c r="C2" s="96" t="str">
        <x:v>累计融资金额从加分项删除：上市公司融资更适合在“稀释与资金依赖”中作为风险变量。加分项总上限建议15分。</x:v>
      </x:c>
      <x:c r="D2" s="96" t="str">
        <x:v>累计融资金额从加分项删除：上市公司融资更适合在“稀释与资金依赖”中作为风险变量。加分项总上限建议15分。</x:v>
      </x:c>
      <x:c r="E2" s="96" t="str">
        <x:v>累计融资金额从加分项删除：上市公司融资更适合在“稀释与资金依赖”中作为风险变量。加分项总上限建议15分。</x:v>
      </x:c>
      <x:c r="F2" s="96" t="str">
        <x:v>累计融资金额从加分项删除：上市公司融资更适合在“稀释与资金依赖”中作为风险变量。加分项总上限建议15分。</x:v>
      </x:c>
      <x:c r="G2" s="96" t="str">
        <x:v>累计融资金额从加分项删除：上市公司融资更适合在“稀释与资金依赖”中作为风险变量。加分项总上限建议15分。</x:v>
      </x:c>
    </x:row>
    <x:row r="3">
      <x:c r="A3" s="76"/>
      <x:c r="B3" s="76"/>
      <x:c r="C3" s="76"/>
      <x:c r="D3" s="76"/>
      <x:c r="E3" s="76"/>
      <x:c r="F3" s="76"/>
      <x:c r="G3" s="76"/>
    </x:row>
    <x:row r="4" ht="34" customHeight="1">
      <x:c r="A4" s="73" t="str">
        <x:v>加分项</x:v>
      </x:c>
      <x:c r="B4" s="73" t="str">
        <x:v>最高加分</x:v>
      </x:c>
      <x:c r="C4" s="73" t="str">
        <x:v>可获取性</x:v>
      </x:c>
      <x:c r="D4" s="73" t="str">
        <x:v>量化规则</x:v>
      </x:c>
      <x:c r="E4" s="73" t="str">
        <x:v>寒武纪样例</x:v>
      </x:c>
      <x:c r="F4" s="73" t="str">
        <x:v>数据来源</x:v>
      </x:c>
      <x:c r="G4" s="73" t="str">
        <x:v>调整说明</x:v>
      </x:c>
    </x:row>
    <x:row r="5">
      <x:c r="A5" s="37" t="str">
        <x:v>国家/省部级科技项目与标准制定</x:v>
      </x:c>
      <x:c r="B5" s="93" t="n">
        <x:v>5</x:v>
      </x:c>
      <x:c r="C5" s="37" t="str">
        <x:v>中</x:v>
      </x:c>
      <x:c r="D5" s="37" t="str">
        <x:v>近3年：国家级项目/牵头国家标准每项2分；省部级或参编标准每项1分；同一成果不重复。</x:v>
      </x:c>
      <x:c r="E5" s="37" t="str">
        <x:v>需按项目/标准编号逐项核验</x:v>
      </x:c>
      <x:c r="F5" s="37" t="str">
        <x:v>科技部、国家标准全文公开系统、公司年报</x:v>
      </x:c>
      <x:c r="G5" s="37" t="str">
        <x:v>保留原加分项并要求编号证据</x:v>
      </x:c>
    </x:row>
    <x:row r="6">
      <x:c r="A6" s="38" t="str">
        <x:v>权威认证与独立验证</x:v>
      </x:c>
      <x:c r="B6" s="94" t="n">
        <x:v>5</x:v>
      </x:c>
      <x:c r="C6" s="38" t="str">
        <x:v>中</x:v>
      </x:c>
      <x:c r="D6" s="38" t="str">
        <x:v>权威认证、具资质第三方测试、重大客户公开验收；每类1—2分，需证书/报告。</x:v>
      </x:c>
      <x:c r="E6" s="38" t="str">
        <x:v>年报披露ISO 9001及客户验证，但覆盖率未披露</x:v>
      </x:c>
      <x:c r="F6" s="38" t="str">
        <x:v>认证机构、客户公告、公司年报</x:v>
      </x:c>
      <x:c r="G6" s="38" t="str">
        <x:v>由“行业排名与科技资质”拆出可验证证据</x:v>
      </x:c>
    </x:row>
    <x:row r="7">
      <x:c r="A7" s="39" t="str">
        <x:v>高质量专利/论文—产品转化证据</x:v>
      </x:c>
      <x:c r="B7" s="44" t="n">
        <x:v>5</x:v>
      </x:c>
      <x:c r="C7" s="39" t="str">
        <x:v>中低</x:v>
      </x:c>
      <x:c r="D7" s="39" t="str">
        <x:v>核心专利族海外布局、稳定法律状态、论文/专利与产品版本的可核验映射。</x:v>
      </x:c>
      <x:c r="E7" s="39" t="str">
        <x:v>基础专利数量可得；质量和转化映射需外部核验</x:v>
      </x:c>
      <x:c r="F7" s="39" t="str">
        <x:v>WIPO/CNIPA、OpenAlex、产品资料</x:v>
      </x:c>
      <x:c r="G7" s="39" t="str">
        <x:v>吸收候选指标；只做加分，不以数量堆砌</x:v>
      </x:c>
    </x:row>
    <x:row r="8">
      <x:c r="A8" s="76"/>
      <x:c r="B8" s="76"/>
      <x:c r="C8" s="76"/>
      <x:c r="D8" s="76"/>
      <x:c r="E8" s="76"/>
      <x:c r="F8" s="76"/>
      <x:c r="G8" s="76"/>
    </x:row>
    <x:row r="9" ht="34" customHeight="1">
      <x:c r="A9" s="73" t="str">
        <x:v>加分上限</x:v>
      </x:c>
      <x:c r="B9" s="73" t="str">
        <x:v>实际公式</x:v>
      </x:c>
      <x:c r="C9" s="73" t="str">
        <x:v>校验</x:v>
      </x:c>
      <x:c r="D9" s="76"/>
      <x:c r="E9" s="76"/>
      <x:c r="F9" s="76"/>
      <x:c r="G9" s="76"/>
    </x:row>
    <x:row r="10">
      <x:c r="A10" s="106" t="n">
        <x:f>SUM(B5:B7)</x:f>
        <x:v>15</x:v>
      </x:c>
      <x:c r="B10" s="106" t="str">
        <x:v>=SUM(实际评分列)（使用时另建）</x:v>
      </x:c>
      <x:c r="C10" s="106" t="str">
        <x:f>IF(A10=15,"OK","复核")</x:f>
        <x:v>OK</x:v>
      </x:c>
      <x:c r="D10" s="76"/>
      <x:c r="E10" s="76"/>
      <x:c r="F10" s="76"/>
      <x:c r="G10" s="76"/>
    </x:row>
  </x:sheetData>
  <x:mergeCells>
    <x:mergeCell ref="A1:G1"/>
    <x:mergeCell ref="A2:G2"/>
  </x:mergeCells>
  <x:pageMargins left="0.7" right="0.7" top="0.75" bottom="0.75" header="0.3" footer="0.3"/>
</x:worksheet>
</file>