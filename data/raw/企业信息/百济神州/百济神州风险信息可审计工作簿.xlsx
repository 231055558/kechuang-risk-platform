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orks\科创企业特有风险识别与管理\科创企业的风险识别与管理\outputs\beigene_risk_audit\"/>
    </mc:Choice>
  </mc:AlternateContent>
  <xr:revisionPtr revIDLastSave="0" documentId="13_ncr:1_{DC1683DC-3181-48DE-AA35-934A0C13F787}" xr6:coauthVersionLast="47" xr6:coauthVersionMax="47" xr10:uidLastSave="{00000000-0000-0000-0000-000000000000}"/>
  <bookViews>
    <workbookView xWindow="-98" yWindow="-98" windowWidth="24196" windowHeight="14476" activeTab="2" xr2:uid="{00000000-000D-0000-FFFF-FFFF00000000}"/>
  </bookViews>
  <sheets>
    <sheet name="使用说明" sheetId="1" r:id="rId1"/>
    <sheet name="指标体系_调整后" sheetId="2" r:id="rId2"/>
    <sheet name="百济神州参数样本" sheetId="3" r:id="rId3"/>
    <sheet name="来源与证据" sheetId="4" r:id="rId4"/>
    <sheet name="覆盖率统计" sheetId="5" r:id="rId5"/>
    <sheet name="评分规则" sheetId="6" r:id="rId6"/>
    <sheet name="指标变更映射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5" l="1"/>
  <c r="G31" i="5"/>
  <c r="G30" i="5"/>
  <c r="G29" i="5"/>
  <c r="G28" i="5"/>
  <c r="G27" i="5"/>
  <c r="G26" i="5"/>
  <c r="G25" i="5"/>
  <c r="G24" i="5"/>
  <c r="G23" i="5"/>
  <c r="L6" i="5" s="1"/>
  <c r="L7" i="5" s="1"/>
  <c r="L8" i="5" s="1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L5" i="5"/>
  <c r="G5" i="5"/>
  <c r="H22" i="3"/>
  <c r="H21" i="3"/>
  <c r="H20" i="3"/>
  <c r="H19" i="3"/>
  <c r="H18" i="3"/>
  <c r="H16" i="3"/>
  <c r="H13" i="3"/>
  <c r="H12" i="3"/>
  <c r="H11" i="3"/>
  <c r="H10" i="3"/>
  <c r="H9" i="3"/>
  <c r="H8" i="3"/>
  <c r="H7" i="3"/>
  <c r="H6" i="3"/>
  <c r="H5" i="3"/>
</calcChain>
</file>

<file path=xl/sharedStrings.xml><?xml version="1.0" encoding="utf-8"?>
<sst xmlns="http://schemas.openxmlformats.org/spreadsheetml/2006/main" count="1234" uniqueCount="568">
  <si>
    <t>百济神州（BeOne Medicines / 688235）风险信息可审计工作簿</t>
  </si>
  <si>
    <t>版本：2026-08-17｜口径：截至最新公开披露｜公开免费来源优先｜不构成投资建议</t>
  </si>
  <si>
    <t>本工作簿的使用边界</t>
  </si>
  <si>
    <t>1</t>
  </si>
  <si>
    <t>目标</t>
  </si>
  <si>
    <t>按重构版28项指标形成可审计信息台账；目标覆盖率≥82.1%（至少23项）。</t>
  </si>
  <si>
    <t>2</t>
  </si>
  <si>
    <t>公司主体</t>
  </si>
  <si>
    <t>百济神州有限公司；公司英文名称已变更为 BeOne Medicines Ltd.；上交所证券代码：688235。</t>
  </si>
  <si>
    <t>3</t>
  </si>
  <si>
    <t>期间</t>
  </si>
  <si>
    <t>以各指标“最新可得披露”为准；年度、半年度和季度数据单列报告期，不混算。</t>
  </si>
  <si>
    <t>4</t>
  </si>
  <si>
    <t>已覆盖定义</t>
  </si>
  <si>
    <t>存在公开原始来源、明确报告期、可复核事实/输入值以及摘录或计算定位。</t>
  </si>
  <si>
    <t>5</t>
  </si>
  <si>
    <t>事件项原则</t>
  </si>
  <si>
    <t>处罚、问询、制裁、质量事故等未完成官方逐条核验时写“待官方核验”，绝不写0或未触发。</t>
  </si>
  <si>
    <t>6</t>
  </si>
  <si>
    <t>来源原则</t>
  </si>
  <si>
    <t>优先公司法定披露、交易所、公司官网、监管和专利官方库；不以商业数据库或付费研报作正式证据。</t>
  </si>
  <si>
    <t>7</t>
  </si>
  <si>
    <t>评分边界</t>
  </si>
  <si>
    <t>未收集同业样本与统一分位基准，故不产生最终风险总分；本表只提供可审计输入。</t>
  </si>
  <si>
    <t>关键结论（截至编制日）</t>
  </si>
  <si>
    <t>覆盖框架</t>
  </si>
  <si>
    <t>18项核心加权指标 + 5项叙事监测 + 5项红旗/尽调项</t>
  </si>
  <si>
    <t>核心财务线索</t>
  </si>
  <si>
    <t>2025年营业收入382.25亿元、研发投入155.08亿元（40.57%）、经营现金流净额137.13亿元（35.87%）；详见“百济神州参数样本”。</t>
  </si>
  <si>
    <t>已识别风险线索</t>
  </si>
  <si>
    <t>百悦泽相关专利诉讼需持续跟踪；出口管制、处罚、问询和质量事件保持官方逐条核验。</t>
  </si>
  <si>
    <t>覆盖率规则</t>
  </si>
  <si>
    <t>仅“已覆盖”状态纳入覆盖率分子；“待官方核验”不纳入。</t>
  </si>
  <si>
    <t>检索日期</t>
  </si>
  <si>
    <t>2026-08-17</t>
  </si>
  <si>
    <t>调整后的核心风险指标体系（百济神州公开信息版）</t>
  </si>
  <si>
    <t>结构：18项核心加权指标（100%）+ 5项非加权叙事监测 + 5项红旗/尽调项；事件项按保守原则留待官方逐条核验。</t>
  </si>
  <si>
    <t>编号</t>
  </si>
  <si>
    <t>一级维度</t>
  </si>
  <si>
    <t>二级指标</t>
  </si>
  <si>
    <t>权重</t>
  </si>
  <si>
    <t>属性</t>
  </si>
  <si>
    <t>百济神州最新值/事实</t>
  </si>
  <si>
    <t>报告期</t>
  </si>
  <si>
    <t>状态</t>
  </si>
  <si>
    <t>来源ID</t>
  </si>
  <si>
    <t>证据定位</t>
  </si>
  <si>
    <t>可获取性</t>
  </si>
  <si>
    <t>T1</t>
  </si>
  <si>
    <t>技术与研发</t>
  </si>
  <si>
    <t>研发投入强度与趋势</t>
  </si>
  <si>
    <t>8%</t>
  </si>
  <si>
    <t>核心</t>
  </si>
  <si>
    <t>研发投入155.08亿元；营业收入382.25亿元；研发投入强度40.57%；同比增长9.67%。</t>
  </si>
  <si>
    <t>2025年度</t>
  </si>
  <si>
    <t>已覆盖</t>
  </si>
  <si>
    <t>S1;S2</t>
  </si>
  <si>
    <t>S1：管理层讨论及财务报表“研发费用”；S2：全年业绩公告研发费用段</t>
  </si>
  <si>
    <t>高</t>
  </si>
  <si>
    <t>T2</t>
  </si>
  <si>
    <t>研发人员密度与学历结构</t>
  </si>
  <si>
    <t>5%</t>
  </si>
  <si>
    <t>研发人员4,281人/员工总数11,825人=36.20%；博士948人、硕士1,662人，高学历占比60.97%。</t>
  </si>
  <si>
    <t>2025-12-31</t>
  </si>
  <si>
    <t>S1：员工情况章节；S2：全年业绩公告员工与研发团队描述</t>
  </si>
  <si>
    <t>T3</t>
  </si>
  <si>
    <t>专利组合有效性代理</t>
  </si>
  <si>
    <t>6%</t>
  </si>
  <si>
    <t>截至2025年末发明专利：美国66项、中国68项、日本33项、欧洲16项、其他国家/地区146项，合计329项。</t>
  </si>
  <si>
    <t>2025年度/持续</t>
  </si>
  <si>
    <t>S1;S8;S10</t>
  </si>
  <si>
    <t>S1：知识产权及业务章节；S8/S10：申请人及受让人检索入口</t>
  </si>
  <si>
    <t>中</t>
  </si>
  <si>
    <t>T4</t>
  </si>
  <si>
    <t>研发/募投里程碑兑现度</t>
  </si>
  <si>
    <t>公开量化代理：百悦泽已在75+市场获批、45+项试验入组7,900+例；百泽安已在50+市场获批、入组15,800+例。</t>
  </si>
  <si>
    <t>S1：研发管线、在建工程/项目进度章节；S2：产品与临床进展段</t>
  </si>
  <si>
    <t>T5</t>
  </si>
  <si>
    <t>认证/生态兼容与外部验证证据</t>
  </si>
  <si>
    <t>百悦泽75+市场获批、百泽安50+市场获批，构成公开外部监管/临床验证证据。</t>
  </si>
  <si>
    <t>持续</t>
  </si>
  <si>
    <t>S1;S2;S9</t>
  </si>
  <si>
    <t>S1：产品商业化章节；S9：Drugs@FDA入口</t>
  </si>
  <si>
    <t>F1</t>
  </si>
  <si>
    <t>商业化与财务</t>
  </si>
  <si>
    <t>营业收入增长与波动</t>
  </si>
  <si>
    <t>2025年营业收入382.25亿元，2024年272.14亿元，同比增长40.46%。</t>
  </si>
  <si>
    <t>S1：合并利润表；S2：Full Year 2025 Financial Results</t>
  </si>
  <si>
    <t>F2</t>
  </si>
  <si>
    <t>经营现金流率</t>
  </si>
  <si>
    <t>2025年经营活动现金流净额137.13亿元；营业收入382.25亿元；经营现金流率35.87%。</t>
  </si>
  <si>
    <t>S1：合并现金流量表；S2：全年业绩公告现金流表述</t>
  </si>
  <si>
    <t>F3</t>
  </si>
  <si>
    <t>客户集中度（CR1/CR5）</t>
  </si>
  <si>
    <t>7%</t>
  </si>
  <si>
    <t>第一大客户销售额68.67亿元，占营业收入17.97%；前五名客户243.87亿元，占63.80%。</t>
  </si>
  <si>
    <t>S1</t>
  </si>
  <si>
    <t>S1：财务报表附注—主要客户/集中度风险</t>
  </si>
  <si>
    <t>F4</t>
  </si>
  <si>
    <t>供应商集中度（CR1/CR5）</t>
  </si>
  <si>
    <t>第一大供应商采购额33.51亿元，占年度采购总额15.73%；前五名供应商67.30亿元，占31.58%。</t>
  </si>
  <si>
    <t>S1：财务报表附注—供应商、采购及集中度风险</t>
  </si>
  <si>
    <t>F6</t>
  </si>
  <si>
    <t>无形资产与研发资本化风险</t>
  </si>
  <si>
    <t>4%</t>
  </si>
  <si>
    <t>无形资产12.47亿元/总资产573.05亿元=2.18%；2025年资产减值损失1.57亿元。</t>
  </si>
  <si>
    <t>S1：资产负债表及无形资产/减值附注</t>
  </si>
  <si>
    <t>F8</t>
  </si>
  <si>
    <t>股权融资稀释与资金依赖</t>
  </si>
  <si>
    <t>3%</t>
  </si>
  <si>
    <t>新增境外普通股5,370.79万股；发行前13.8737亿股，稀释率3.87%；期末总股本14.4108亿股。</t>
  </si>
  <si>
    <t>S1;S6;S11;S12</t>
  </si>
  <si>
    <t>S1：股本及股权激励附注；交易所与SEC公告入口</t>
  </si>
  <si>
    <t>G1</t>
  </si>
  <si>
    <t>合规与治理</t>
  </si>
  <si>
    <t>监管处罚及纪律处分</t>
  </si>
  <si>
    <t>待官方逐条核验；本次不作“0次处罚”结论。</t>
  </si>
  <si>
    <t>待官方核验</t>
  </si>
  <si>
    <t>S1;S5;S6;S11;S12</t>
  </si>
  <si>
    <t>S1：重大处罚/合规披露；S5/S6/S11/S12：官方查询入口</t>
  </si>
  <si>
    <t>G2</t>
  </si>
  <si>
    <t>交易所问询与监管措施</t>
  </si>
  <si>
    <t>待按上交所688235与期间逐条核验；不以搜索未命中替代0。</t>
  </si>
  <si>
    <t>S5;S6</t>
  </si>
  <si>
    <t>S5：监管问询；S6：上市公司公告查询</t>
  </si>
  <si>
    <t>G3</t>
  </si>
  <si>
    <t>重大诉讼与或有事项</t>
  </si>
  <si>
    <t>百悦泽相关专利诉讼：2025-04-29 USPTO PGR最终书面决定；公司披露当时未对美国研发和销售产生不利影响。</t>
  </si>
  <si>
    <t>2025-04-30/持续</t>
  </si>
  <si>
    <t>S1;S6</t>
  </si>
  <si>
    <t>S1：诉讼及或有事项附注；S6：公司诉讼进展公告检索</t>
  </si>
  <si>
    <t>G4</t>
  </si>
  <si>
    <t>控制权、质押与治理稳定</t>
  </si>
  <si>
    <t>第一大股东安进持股17.09%；无单一股东持股或表决权超过30%，公司不存在控股股东。</t>
  </si>
  <si>
    <t>S1;S11;S12</t>
  </si>
  <si>
    <t>S1：主要股东和治理章节；S11/S12：持续披露入口</t>
  </si>
  <si>
    <t>G5</t>
  </si>
  <si>
    <t>核心技术人员/关键高管稳定性</t>
  </si>
  <si>
    <t>研发人员4,281人（2024年3,905人）；年报披露报告期内无董事或高级管理人员离任。</t>
  </si>
  <si>
    <t>S1：董事、高管、员工章节；交易所/SEC公告入口</t>
  </si>
  <si>
    <t>E1</t>
  </si>
  <si>
    <t>外部环境</t>
  </si>
  <si>
    <t>出口管制/制裁清单命中</t>
  </si>
  <si>
    <t>10%</t>
  </si>
  <si>
    <t>待按BIS名单对公司、历史名称、关联主体与地址逐条匹配；本次不写入命中/未命中结论。</t>
  </si>
  <si>
    <t>S7</t>
  </si>
  <si>
    <t>S7：EAR Part 744 / Entity List 官方入口</t>
  </si>
  <si>
    <t>E2</t>
  </si>
  <si>
    <t>海外收入暴露度</t>
  </si>
  <si>
    <t>2%</t>
  </si>
  <si>
    <t>境外营业收入261.85亿元/营业收入382.25亿元=68.50%；境外资产388.18亿元，占总资产67.74%。</t>
  </si>
  <si>
    <t>S1：地域收入/业务地区及风险因素；S2：全球商业化表述</t>
  </si>
  <si>
    <t>N1</t>
  </si>
  <si>
    <t>叙事监测</t>
  </si>
  <si>
    <t>叙事热度—基本面背离</t>
  </si>
  <si>
    <t>监测</t>
  </si>
  <si>
    <t>已提取2025年四季度营收序列：80.48、94.70、100.77、106.30亿元；叙事热度仍需固定新闻语料库。</t>
  </si>
  <si>
    <t>2025年度/季度</t>
  </si>
  <si>
    <t>S2;S4</t>
  </si>
  <si>
    <t>S2/S4：公司新闻与业绩披露样本入口</t>
  </si>
  <si>
    <t>N2</t>
  </si>
  <si>
    <t>自述—第三方表述偏差</t>
  </si>
  <si>
    <t>自述语料来自年报；第三方语料需另建公开固定样本库，当前不计算密度差。</t>
  </si>
  <si>
    <t>S1/S2：公司文本；S9：监管外部文本入口</t>
  </si>
  <si>
    <t>中低</t>
  </si>
  <si>
    <t>N3</t>
  </si>
  <si>
    <t>自身评价一致性</t>
  </si>
  <si>
    <t>可抽取2024–2025年报与季度公告中的业务、产品和风险因素段落；未执行文本相似度算法。</t>
  </si>
  <si>
    <t>2024-2025年度</t>
  </si>
  <si>
    <t>S1;S2;S4</t>
  </si>
  <si>
    <t>S1：年报业务/风险因素；S4：历史新闻与季报入口</t>
  </si>
  <si>
    <t>N4</t>
  </si>
  <si>
    <t>概念标签—收入映射覆盖</t>
  </si>
  <si>
    <t>年报已披露产品/地区收入：境内120.40亿元、境外261.85亿元；未按“热门概念”拆分收入。</t>
  </si>
  <si>
    <t>S1：产品及地区收入披露章节</t>
  </si>
  <si>
    <t>N5</t>
  </si>
  <si>
    <t>技术风险关键词密度</t>
  </si>
  <si>
    <t>可用2025年报风险因素与研发章节作为固定语料；尚未执行关键词词典计数。</t>
  </si>
  <si>
    <t>S1：风险因素及研发章节</t>
  </si>
  <si>
    <t>R1</t>
  </si>
  <si>
    <t>红旗/尽调</t>
  </si>
  <si>
    <t>重大监管/舞弊</t>
  </si>
  <si>
    <t>红旗</t>
  </si>
  <si>
    <t>待跨监管官方逐条核验，不作无舞弊/无重大处罚结论。</t>
  </si>
  <si>
    <t>S5;S6;S11;S12</t>
  </si>
  <si>
    <t>交易所及SEC/HKEX官方入口；需按事件形成台账</t>
  </si>
  <si>
    <t>R2</t>
  </si>
  <si>
    <t>重大技术质量/安全事故</t>
  </si>
  <si>
    <t>待按FDA/NMPA/EMA等官方数据库逐条核验，不作无质量/安全事故结论。</t>
  </si>
  <si>
    <t>S9</t>
  </si>
  <si>
    <t>FDA Drugs@FDA及相关监管信息入口</t>
  </si>
  <si>
    <t>R3</t>
  </si>
  <si>
    <t>关键供应链/BOM依赖</t>
  </si>
  <si>
    <t>尽调</t>
  </si>
  <si>
    <t>年报直接披露：部分供应链可能依赖唯一来源供应商；未公开BOM及关键原料金额分母。</t>
  </si>
  <si>
    <t>S1：供应链及风险因素；F4为公开代理指标</t>
  </si>
  <si>
    <t>低</t>
  </si>
  <si>
    <t>R4</t>
  </si>
  <si>
    <t>真实TRL/客户验收覆盖</t>
  </si>
  <si>
    <t>公开代理：百悦泽45+项试验、7,900+例入组；百泽安15,800+例入组；统一TRL与客户验收分母未公开。</t>
  </si>
  <si>
    <t>S1/S2：研发和临床节点；S9：监管批准外部验证</t>
  </si>
  <si>
    <t>R5</t>
  </si>
  <si>
    <t>关联人风险事件台账</t>
  </si>
  <si>
    <t>已锁定董监高名单及交易所/SEC/HKEX查询入口；关联人风险需逐主体事件台账，当前不作无事件结论。</t>
  </si>
  <si>
    <t>S1：董监高；交易所/SEC/HKEX持续披露入口</t>
  </si>
  <si>
    <t>百济神州参数样本（原始披露输入与计算）</t>
  </si>
  <si>
    <t>所有“已覆盖”项目已尽可能填写为年报原始数值、公式结果或明确事件事实；无法公开量化的尽调/文本项仅保留可核验事实。除特别说明外，金额单位均为人民币千元。</t>
  </si>
  <si>
    <t>参数ID</t>
  </si>
  <si>
    <t>指标</t>
  </si>
  <si>
    <t>原始输入1</t>
  </si>
  <si>
    <t>原始输入2</t>
  </si>
  <si>
    <t>单位</t>
  </si>
  <si>
    <t>计算公式/口径</t>
  </si>
  <si>
    <t>计算结果/事实</t>
  </si>
  <si>
    <t>P1</t>
  </si>
  <si>
    <t>研发投入强度</t>
  </si>
  <si>
    <t>人民币千元</t>
  </si>
  <si>
    <t>研发投入÷营业收入</t>
  </si>
  <si>
    <t>年报第42页/管理层分析；第175页合并利润表</t>
  </si>
  <si>
    <t>P2</t>
  </si>
  <si>
    <t>研发投入同比</t>
  </si>
  <si>
    <t>(2025研发投入−2024研发投入)÷2024研发投入</t>
  </si>
  <si>
    <t>年报第42页/第84页；研发投入表</t>
  </si>
  <si>
    <t>P3</t>
  </si>
  <si>
    <t>营业收入增长</t>
  </si>
  <si>
    <t>(2025营业收入−2024营业收入)÷2024营业收入</t>
  </si>
  <si>
    <t>年报第10页/第175页合并利润表</t>
  </si>
  <si>
    <t>P4</t>
  </si>
  <si>
    <t>经营活动现金流量净额÷营业收入</t>
  </si>
  <si>
    <t>年报第10页/第177页合并现金流量表</t>
  </si>
  <si>
    <t>P5</t>
  </si>
  <si>
    <t>研发人员密度</t>
  </si>
  <si>
    <t>人</t>
  </si>
  <si>
    <t>研发人员÷在职员工总数</t>
  </si>
  <si>
    <t>年报第42页研发人员情况；第135页员工情况</t>
  </si>
  <si>
    <t>P6</t>
  </si>
  <si>
    <t>研发人员高学历占比</t>
  </si>
  <si>
    <t>（博士948+硕士1662）÷研发人员总数</t>
  </si>
  <si>
    <t>年报第42页研发人员学历结构</t>
  </si>
  <si>
    <t>P7</t>
  </si>
  <si>
    <t>发明专利数量</t>
  </si>
  <si>
    <t>项</t>
  </si>
  <si>
    <t>美国66+中国68+日本33+欧洲16+其他146</t>
  </si>
  <si>
    <t>年报第39页“报告期内获得的知识产权列表”</t>
  </si>
  <si>
    <t>P8</t>
  </si>
  <si>
    <t>客户CR1</t>
  </si>
  <si>
    <t>第一大客户销售额÷营业收入</t>
  </si>
  <si>
    <t>年报第85页主要销售客户情况</t>
  </si>
  <si>
    <t>P9</t>
  </si>
  <si>
    <t>客户CR5</t>
  </si>
  <si>
    <t>前五名客户销售额÷营业收入</t>
  </si>
  <si>
    <t>P10</t>
  </si>
  <si>
    <t>供应商CR1</t>
  </si>
  <si>
    <t>15.73%</t>
  </si>
  <si>
    <t>比例/人民币千元</t>
  </si>
  <si>
    <t>年报直接披露第一大供应商采购占比；采购额3,351,431</t>
  </si>
  <si>
    <t>年报第85页主要供应商情况</t>
  </si>
  <si>
    <t>P11</t>
  </si>
  <si>
    <t>供应商CR5</t>
  </si>
  <si>
    <t>31.58%</t>
  </si>
  <si>
    <t>年报直接披露前五名供应商采购占比；采购额6,729,782</t>
  </si>
  <si>
    <t>P12</t>
  </si>
  <si>
    <t>无形资产占总资产比</t>
  </si>
  <si>
    <t>无形资产÷资产总计</t>
  </si>
  <si>
    <t>年报第175页合并资产负债表</t>
  </si>
  <si>
    <t>P13</t>
  </si>
  <si>
    <t>资产减值损失</t>
  </si>
  <si>
    <t>直接取利润表“资产减值损失”绝对额</t>
  </si>
  <si>
    <t>年报第175页合并利润表</t>
  </si>
  <si>
    <t>P14</t>
  </si>
  <si>
    <t>有息负债/总资产</t>
  </si>
  <si>
    <t>短期借款0+长期借款÷资产总计</t>
  </si>
  <si>
    <t>P15</t>
  </si>
  <si>
    <t>利息覆盖倍数</t>
  </si>
  <si>
    <t>营业利润÷利息费用</t>
  </si>
  <si>
    <t>P16</t>
  </si>
  <si>
    <t>股权激励稀释率</t>
  </si>
  <si>
    <t>股</t>
  </si>
  <si>
    <t>新增境外普通股÷期初已发行股份总数</t>
  </si>
  <si>
    <t>年报第165页股份变动</t>
  </si>
  <si>
    <t>P17</t>
  </si>
  <si>
    <t>境外营业收入÷营业收入</t>
  </si>
  <si>
    <t>年报第84页主营业务分地区情况</t>
  </si>
  <si>
    <t>P18</t>
  </si>
  <si>
    <t>境外资产占比</t>
  </si>
  <si>
    <t>境外资产÷总资产</t>
  </si>
  <si>
    <t>年报第87页资产规模</t>
  </si>
  <si>
    <t>P19</t>
  </si>
  <si>
    <t>主要股东与控制权</t>
  </si>
  <si>
    <t>安进17.09%</t>
  </si>
  <si>
    <t>无单一股东超过30%</t>
  </si>
  <si>
    <t>事实</t>
  </si>
  <si>
    <t>直接披露</t>
  </si>
  <si>
    <t>公司无控股股东；股权较为分散</t>
  </si>
  <si>
    <t>年报第166页股东和实际控制人情况</t>
  </si>
  <si>
    <t>P20</t>
  </si>
  <si>
    <t>高管稳定性</t>
  </si>
  <si>
    <t>报告期内无董事或高级管理人员离任</t>
  </si>
  <si>
    <t>事件</t>
  </si>
  <si>
    <t>未见报告期内董事或高管离任</t>
  </si>
  <si>
    <t>年报第108页董事、高管持股变动说明</t>
  </si>
  <si>
    <t>P21</t>
  </si>
  <si>
    <t>外部验证—百悦泽</t>
  </si>
  <si>
    <t>超过75个市场获批</t>
  </si>
  <si>
    <t>超过45项试验、7,900+例入组</t>
  </si>
  <si>
    <t>市场/试验</t>
  </si>
  <si>
    <t>截至2026-04-13</t>
  </si>
  <si>
    <t>全球药政与临床外部验证证据</t>
  </si>
  <si>
    <t>年报第13–16页商业化产品及临床进展</t>
  </si>
  <si>
    <t>P22</t>
  </si>
  <si>
    <t>外部验证—百泽安</t>
  </si>
  <si>
    <t>超过50个市场获批</t>
  </si>
  <si>
    <t>33+国家/地区、15,800+例入组</t>
  </si>
  <si>
    <t>P23</t>
  </si>
  <si>
    <t>重大诉讼事实</t>
  </si>
  <si>
    <t>百悦泽相关专利诉讼</t>
  </si>
  <si>
    <t>2025-04-29 USPTO PGR最终书面决定</t>
  </si>
  <si>
    <t>事件台账</t>
  </si>
  <si>
    <t>公司披露：当时未对美国研发和销售产生不利影响</t>
  </si>
  <si>
    <t>年报诉讼及或有事项；2025-04-30诉讼进展公告</t>
  </si>
  <si>
    <t>P24</t>
  </si>
  <si>
    <t>供应链单一来源风险</t>
  </si>
  <si>
    <t>部分供应链可能依赖唯一来源供应商</t>
  </si>
  <si>
    <t>风险因素直接披露</t>
  </si>
  <si>
    <t>需对关键原料、许可和BOM开展尽调</t>
  </si>
  <si>
    <t>年报第45页风险因素</t>
  </si>
  <si>
    <t>P25</t>
  </si>
  <si>
    <t>TRL/验收公开替代</t>
  </si>
  <si>
    <t>百悦泽超过45项试验、7,900+例入组</t>
  </si>
  <si>
    <t>百泽安15,800+例入组</t>
  </si>
  <si>
    <t>临床/获批节点作为公开代理</t>
  </si>
  <si>
    <t>统一TRL与客户验收分母未公开</t>
  </si>
  <si>
    <t>年报第13–16页、研发与临床进展</t>
  </si>
  <si>
    <t>P26</t>
  </si>
  <si>
    <t>叙事基准—季度营收</t>
  </si>
  <si>
    <t>Q1 8,047,870；Q2 9,470,399</t>
  </si>
  <si>
    <t>Q3 10,076,964；Q4 10,629,766</t>
  </si>
  <si>
    <t>季度营收原始序列；叙事热度仍需固定新闻语料库</t>
  </si>
  <si>
    <t>全年合计38,224,999</t>
  </si>
  <si>
    <t>年报第10页分季度主要财务数据</t>
  </si>
  <si>
    <t>来源与证据台账</t>
  </si>
  <si>
    <t>公开原始来源优先；链接用于复核，检索日期为2026-08-17。链接或查询入口不等于已确认的负面事件结论。</t>
  </si>
  <si>
    <t>来源名称</t>
  </si>
  <si>
    <t>期间/日期</t>
  </si>
  <si>
    <t>URL</t>
  </si>
  <si>
    <t>来源级别</t>
  </si>
  <si>
    <t>支持的指标/参数</t>
  </si>
  <si>
    <t>备注</t>
  </si>
  <si>
    <t>百济神州有限公司2025年年度报告（上交所）</t>
  </si>
  <si>
    <t>2025年度 / 2026-04-15</t>
  </si>
  <si>
    <t>https://star.sse.com.cn/disclosure/listedinfo/announcement/c/new/2026-04-15/688235_20260415_DEXK.pdf</t>
  </si>
  <si>
    <t>公司法定披露</t>
  </si>
  <si>
    <t>财务、研发、人员、股权、诉讼、风险因素、专利、地域信息</t>
  </si>
  <si>
    <t>年度报告全文；本工作簿核心财务与治理主来源</t>
  </si>
  <si>
    <t>S2</t>
  </si>
  <si>
    <t>百济神州2025年第四季度及全年业绩公告（公司IR）</t>
  </si>
  <si>
    <t>2026-02-26</t>
  </si>
  <si>
    <t>https://sseir.beonemedicines.com/news/2025r/6559b41c-7beb-45ca-bc76-5e1c9cdb26cc</t>
  </si>
  <si>
    <t>公司官网/IR</t>
  </si>
  <si>
    <t>全年收入、研发费用、经营现金流、产品与管线</t>
  </si>
  <si>
    <t>官方全年业绩新闻稿；与S1交叉核验</t>
  </si>
  <si>
    <t>S3</t>
  </si>
  <si>
    <t>百济神州2025年半年度报告（巨潮资讯）</t>
  </si>
  <si>
    <t>2025-08-30</t>
  </si>
  <si>
    <t>https://static.cninfo.com.cn/finalpage/2025-08-30/1224624603.PDF</t>
  </si>
  <si>
    <t>法定披露镜像</t>
  </si>
  <si>
    <t>中期财务、研发费用、员工、风险因素</t>
  </si>
  <si>
    <t>最新中期法定披露；仅用于滚动更新，不与年度数值混算</t>
  </si>
  <si>
    <t>S4</t>
  </si>
  <si>
    <t>BeOne Medicines SSE 投资者关系/公告入口</t>
  </si>
  <si>
    <t>持续更新</t>
  </si>
  <si>
    <t>https://sseir.beonemedicines.com/</t>
  </si>
  <si>
    <t>季度业绩、公告、演示材料</t>
  </si>
  <si>
    <t>公司投资者关系入口</t>
  </si>
  <si>
    <t>S5</t>
  </si>
  <si>
    <t>上海证券交易所监管问询栏目</t>
  </si>
  <si>
    <t>https://www.sse.com.cn/disclosure/credibility/supervision/inquiries/</t>
  </si>
  <si>
    <t>官方监管</t>
  </si>
  <si>
    <t>问询函、监管工作函及监管措施</t>
  </si>
  <si>
    <t>须按688235及期间结构化复核；未检出不得作为0</t>
  </si>
  <si>
    <t>S6</t>
  </si>
  <si>
    <t>上海证券交易所公告查询入口（688235）</t>
  </si>
  <si>
    <t>https://www.sse.com.cn/assortment/stock/list/info/announcement/index.shtml?productId=688235</t>
  </si>
  <si>
    <t>定期报告、诉讼、股份、人员、募资公告</t>
  </si>
  <si>
    <t>用于持续复核</t>
  </si>
  <si>
    <t>BIS Entity List / EAR Part 744</t>
  </si>
  <si>
    <t>https://www.bis.gov/regulations/ear/744</t>
  </si>
  <si>
    <t>美国官方监管</t>
  </si>
  <si>
    <t>出口管制/制裁清单核验</t>
  </si>
  <si>
    <t>需按公司全称、历史名称、关联方及地址核验</t>
  </si>
  <si>
    <t>S8</t>
  </si>
  <si>
    <t>WIPO PATENTSCOPE</t>
  </si>
  <si>
    <t>https://patentscope.wipo.int/search/en/search.jsf</t>
  </si>
  <si>
    <t>国际组织</t>
  </si>
  <si>
    <t>PCT、专利族、海外布局辅助核验</t>
  </si>
  <si>
    <t>按申请人/受让人及别名检索</t>
  </si>
  <si>
    <t>FDA Drugs@FDA</t>
  </si>
  <si>
    <t>https://www.accessdata.fda.gov/scripts/cder/daf/</t>
  </si>
  <si>
    <t>药品批准、标签和监管行动</t>
  </si>
  <si>
    <t>用于产品外部验证与安全事件辅助核验</t>
  </si>
  <si>
    <t>S10</t>
  </si>
  <si>
    <t>国家知识产权局专利检索及分析系统</t>
  </si>
  <si>
    <t>https://pss-system.cponline.cnipa.gov.cn/</t>
  </si>
  <si>
    <t>中国官方专利库</t>
  </si>
  <si>
    <t>中国专利申请、授权和法律状态</t>
  </si>
  <si>
    <t>按申请人中英文名称及关联主体检索</t>
  </si>
  <si>
    <t>S11</t>
  </si>
  <si>
    <t>港交所披露易</t>
  </si>
  <si>
    <t>https://www.hkexnews.hk/</t>
  </si>
  <si>
    <t>官方交易所</t>
  </si>
  <si>
    <t>港股公告、年报、股权及公司治理</t>
  </si>
  <si>
    <t>按06160及公司英文名检索</t>
  </si>
  <si>
    <t>S12</t>
  </si>
  <si>
    <t>美国SEC EDGAR公司申报查询</t>
  </si>
  <si>
    <t>https://www.sec.gov/edgar/browse/?CIK=1651308</t>
  </si>
  <si>
    <t>20-F/10-K、股权、诉讼和风险因素</t>
  </si>
  <si>
    <t>按CIK核验；公司更名后同步查BeOne Medicines</t>
  </si>
  <si>
    <t>指标覆盖率统计</t>
  </si>
  <si>
    <t>覆盖率=“已覆盖”指标数÷28；“待官方核验”保留在台账但不计入覆盖率分子。</t>
  </si>
  <si>
    <t>计入覆盖率</t>
  </si>
  <si>
    <t>覆盖说明</t>
  </si>
  <si>
    <t>覆盖汇总</t>
  </si>
  <si>
    <t>数值</t>
  </si>
  <si>
    <t>具备公开来源、期间及可复核事实/输入</t>
  </si>
  <si>
    <t>总指标数</t>
  </si>
  <si>
    <t>已覆盖数</t>
  </si>
  <si>
    <t>覆盖率</t>
  </si>
  <si>
    <t>验收</t>
  </si>
  <si>
    <t>需完成官方逐条检索或现场尽调，不计入分子</t>
  </si>
  <si>
    <t>评分、缺失值与红旗覆盖规则</t>
  </si>
  <si>
    <t>本工作簿不计算最终风险总分；以下规则保留以支持后续纳入同业样本后的正式评分。</t>
  </si>
  <si>
    <t>规则</t>
  </si>
  <si>
    <t>定义/算法</t>
  </si>
  <si>
    <t>已覆盖时</t>
  </si>
  <si>
    <t>待核验时</t>
  </si>
  <si>
    <t>缺失时</t>
  </si>
  <si>
    <t>证据要求</t>
  </si>
  <si>
    <t>当前应用</t>
  </si>
  <si>
    <t>可获取性A</t>
  </si>
  <si>
    <t>定期报告/公告直接披露或可复算</t>
  </si>
  <si>
    <t>可入核心评分</t>
  </si>
  <si>
    <t>—</t>
  </si>
  <si>
    <t>按NA规则</t>
  </si>
  <si>
    <t>公司法定披露+公式</t>
  </si>
  <si>
    <t>财务、人员、资产、股权</t>
  </si>
  <si>
    <t>优先</t>
  </si>
  <si>
    <t>可获取性B</t>
  </si>
  <si>
    <t>需官方外部库或固定文本加工</t>
  </si>
  <si>
    <t>可作事件/辅助评分</t>
  </si>
  <si>
    <t>保留待核验</t>
  </si>
  <si>
    <t>不得按0</t>
  </si>
  <si>
    <t>可复现检索日志</t>
  </si>
  <si>
    <t>问询、专利、叙事</t>
  </si>
  <si>
    <t>人工抽检</t>
  </si>
  <si>
    <t>可获取性C</t>
  </si>
  <si>
    <t>需内部BOM/客户验收/统一测试</t>
  </si>
  <si>
    <t>不入公开总分</t>
  </si>
  <si>
    <t>留尽调项</t>
  </si>
  <si>
    <t>NA</t>
  </si>
  <si>
    <t>现场材料/合同/测试</t>
  </si>
  <si>
    <t>TRL、BOM等</t>
  </si>
  <si>
    <t>不硬算</t>
  </si>
  <si>
    <t>负向连续变量</t>
  </si>
  <si>
    <t>风险分=同业百分位</t>
  </si>
  <si>
    <t>输入同业样本后计算</t>
  </si>
  <si>
    <t>保存样本、期间、原始值</t>
  </si>
  <si>
    <t>客户/供应商集中度</t>
  </si>
  <si>
    <t>值越高风险越高</t>
  </si>
  <si>
    <t>正向连续变量</t>
  </si>
  <si>
    <t>风险分=100-同业百分位</t>
  </si>
  <si>
    <t>研发人员/专利代理</t>
  </si>
  <si>
    <t>值越低风险越高</t>
  </si>
  <si>
    <t>事件变量</t>
  </si>
  <si>
    <t>按0/25/50/100或严重性表</t>
  </si>
  <si>
    <t>官方事件台账确认后计分</t>
  </si>
  <si>
    <t>不计分且不写0</t>
  </si>
  <si>
    <t>官方决定/公告</t>
  </si>
  <si>
    <t>处罚、问询、制裁</t>
  </si>
  <si>
    <t>严格保守</t>
  </si>
  <si>
    <t>总分有效性</t>
  </si>
  <si>
    <t>SUMPRODUCT(可用权重,风险分)/SUM(可用权重)</t>
  </si>
  <si>
    <t>有效权重≥85%</t>
  </si>
  <si>
    <t>不足则不可评分</t>
  </si>
  <si>
    <t>同业与事件证据齐备</t>
  </si>
  <si>
    <t>本工作簿未启动</t>
  </si>
  <si>
    <t>避免虚假精度</t>
  </si>
  <si>
    <t>红旗覆盖</t>
  </si>
  <si>
    <t>重大制裁/处罚/质量事故/控制权失稳</t>
  </si>
  <si>
    <t>单独标红</t>
  </si>
  <si>
    <t>持续跟踪</t>
  </si>
  <si>
    <t>不与普通分抵消</t>
  </si>
  <si>
    <t>官方名单/决定/公告</t>
  </si>
  <si>
    <t>事件项待官方核验</t>
  </si>
  <si>
    <t>单列</t>
  </si>
  <si>
    <t>指标变更映射</t>
  </si>
  <si>
    <t>将原始风险指标体系映射为公开信息优先的28项结构；低可得指标不以缺失值替代为0。</t>
  </si>
  <si>
    <t>原始指标</t>
  </si>
  <si>
    <t>原维度</t>
  </si>
  <si>
    <t>处理方式</t>
  </si>
  <si>
    <t>重构后编号</t>
  </si>
  <si>
    <t>重构后指标</t>
  </si>
  <si>
    <t>调整理由</t>
  </si>
  <si>
    <t>百济神州处理</t>
  </si>
  <si>
    <t>技术/财务</t>
  </si>
  <si>
    <t>保留</t>
  </si>
  <si>
    <t>年报可直接提取并可计算</t>
  </si>
  <si>
    <t>核心技术人员占比</t>
  </si>
  <si>
    <t>技术</t>
  </si>
  <si>
    <t>规范口径</t>
  </si>
  <si>
    <t>公开披露多为研发人员而非核心技术人员</t>
  </si>
  <si>
    <t>技术先进性—专利质量</t>
  </si>
  <si>
    <t>代理</t>
  </si>
  <si>
    <t>真实前向引用需外部专利库</t>
  </si>
  <si>
    <t>研发/募投里程碑</t>
  </si>
  <si>
    <t>以公开临床/项目进度替代TRL自评</t>
  </si>
  <si>
    <t>技术开源/验证</t>
  </si>
  <si>
    <t>重写</t>
  </si>
  <si>
    <t>用监管批准/外部验证证据替代主观评价</t>
  </si>
  <si>
    <t>营业收入增长率</t>
  </si>
  <si>
    <t>财务</t>
  </si>
  <si>
    <t>强化</t>
  </si>
  <si>
    <t>加入多期波动，避免单期高增长掩盖风险</t>
  </si>
  <si>
    <t>经营现金流与短债</t>
  </si>
  <si>
    <t>拆分</t>
  </si>
  <si>
    <t>F2;F7</t>
  </si>
  <si>
    <t>经营现金流率；债务负担与利息覆盖</t>
  </si>
  <si>
    <t>保留现金与债务两类事实</t>
  </si>
  <si>
    <t>供应链进口依赖</t>
  </si>
  <si>
    <t>外部</t>
  </si>
  <si>
    <t>代理+尽调</t>
  </si>
  <si>
    <t>F4;R3</t>
  </si>
  <si>
    <t>供应商集中度；关键供应链/BOM依赖</t>
  </si>
  <si>
    <t>中/低</t>
  </si>
  <si>
    <t>境内外属性和BOM通常不公开</t>
  </si>
  <si>
    <t>已覆盖/尽调</t>
  </si>
  <si>
    <t>海外业务收入占比</t>
  </si>
  <si>
    <t>地域收入/业务地区可得</t>
  </si>
  <si>
    <t>出口管制与制裁</t>
  </si>
  <si>
    <t>保留红旗</t>
  </si>
  <si>
    <t>官方清单逐条核验</t>
  </si>
  <si>
    <t>监管处罚次数</t>
  </si>
  <si>
    <t>合规</t>
  </si>
  <si>
    <t>扩围</t>
  </si>
  <si>
    <t>G1;R1</t>
  </si>
  <si>
    <t>监管处罚及纪律处分；重大监管/舞弊</t>
  </si>
  <si>
    <t>搜索未命中不得当作0</t>
  </si>
  <si>
    <t>交易所问询次数</t>
  </si>
  <si>
    <t>需交易所结构化检索</t>
  </si>
  <si>
    <t>诉讼风险</t>
  </si>
  <si>
    <t>保留强化</t>
  </si>
  <si>
    <t>金额、阶段、预计负债均可留档</t>
  </si>
  <si>
    <t>控制权稀释</t>
  </si>
  <si>
    <t>治理</t>
  </si>
  <si>
    <t>F8;G4</t>
  </si>
  <si>
    <t>股权融资稀释；控制权与治理稳定</t>
  </si>
  <si>
    <t>融资与控制权机制不同</t>
  </si>
  <si>
    <t>高管关联风险</t>
  </si>
  <si>
    <t>主体去重与事件穿透需要外部核验</t>
  </si>
  <si>
    <t>已覆盖（尽调入口）</t>
  </si>
  <si>
    <t>关键人员稳定性</t>
  </si>
  <si>
    <t>年报与公告可核验</t>
  </si>
  <si>
    <t>叙事风险项</t>
  </si>
  <si>
    <t>叙事</t>
  </si>
  <si>
    <t>移至监测</t>
  </si>
  <si>
    <t>N1-N5</t>
  </si>
  <si>
    <t>非加权叙事监测层</t>
  </si>
  <si>
    <t>中/中低</t>
  </si>
  <si>
    <t>不直接污染总分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</si>
</sst>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>
    <font>
      <sz val="11"/>
      <name val="Carlito"/>
    </font>
    <font>
      <sz val="10"/>
      <color rgb="FF1F2937"/>
      <name val="Microsoft YaHei"/>
      <family val="2"/>
      <charset val="134"/>
    </font>
    <font>
      <b/>
      <sz val="10"/>
      <color rgb="FF1F2937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0" borderId="0" xfId="1" applyFont="1"/>
    <xf numFmtId="0" fontId="1" fillId="0" borderId="1" xfId="1" applyFont="1" applyBorder="1" applyAlignment="1">
      <alignment vertical="center" wrapText="1"/>
    </xf>
    <xf numFmtId="1" fontId="1" fillId="0" borderId="1" xfId="1" applyNumberFormat="1" applyFont="1" applyBorder="1" applyAlignment="1">
      <alignment vertical="center" wrapText="1"/>
    </xf>
    <xf numFmtId="176" fontId="1" fillId="0" borderId="1" xfId="1" applyNumberFormat="1" applyFont="1" applyBorder="1" applyAlignment="1">
      <alignment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vertical="center" wrapText="1"/>
    </xf>
    <xf numFmtId="0" fontId="2" fillId="2" borderId="0" xfId="1" applyFont="1" applyFill="1" applyAlignment="1">
      <alignment horizontal="left" vertical="center"/>
    </xf>
    <xf numFmtId="0" fontId="1" fillId="3" borderId="0" xfId="1" applyFont="1" applyFill="1" applyAlignment="1">
      <alignment vertical="center" wrapText="1"/>
    </xf>
    <xf numFmtId="0" fontId="2" fillId="4" borderId="0" xfId="1" applyFont="1" applyFill="1" applyAlignment="1">
      <alignment vertical="center"/>
    </xf>
    <xf numFmtId="0" fontId="2" fillId="4" borderId="0" xfId="1" applyFont="1" applyFill="1"/>
    <xf numFmtId="0" fontId="1" fillId="0" borderId="3" xfId="1" applyFont="1" applyBorder="1" applyAlignment="1">
      <alignment vertical="center" wrapText="1"/>
    </xf>
    <xf numFmtId="10" fontId="1" fillId="0" borderId="3" xfId="1" applyNumberFormat="1" applyFont="1" applyBorder="1" applyAlignment="1">
      <alignment vertical="center" wrapText="1"/>
    </xf>
    <xf numFmtId="0" fontId="0" fillId="0" borderId="3" xfId="0" applyBorder="1"/>
    <xf numFmtId="3" fontId="0" fillId="0" borderId="3" xfId="1" applyNumberFormat="1" applyFont="1" applyBorder="1"/>
    <xf numFmtId="10" fontId="0" fillId="0" borderId="3" xfId="1" applyNumberFormat="1" applyFont="1" applyBorder="1"/>
    <xf numFmtId="4" fontId="0" fillId="0" borderId="3" xfId="1" applyNumberFormat="1" applyFont="1" applyBorder="1"/>
    <xf numFmtId="0" fontId="0" fillId="0" borderId="0" xfId="0" applyBorder="1"/>
    <xf numFmtId="0" fontId="2" fillId="5" borderId="3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left" vertical="center"/>
    </xf>
    <xf numFmtId="0" fontId="1" fillId="3" borderId="3" xfId="1" applyFont="1" applyFill="1" applyBorder="1" applyAlignment="1">
      <alignment vertical="center" wrapText="1"/>
    </xf>
    <xf numFmtId="0" fontId="1" fillId="0" borderId="3" xfId="1" applyFont="1" applyBorder="1"/>
  </cellXfs>
  <cellStyles count="2">
    <cellStyle name="Normal" xfId="1" xr:uid="{00000000-0005-0000-0000-000000000000}"/>
    <cellStyle name="常规" xfId="0" builtinId="0"/>
  </cellStyles>
  <dxfs count="3"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zoomScale="70" zoomScaleNormal="70" workbookViewId="0">
      <selection sqref="A1:H1"/>
    </sheetView>
  </sheetViews>
  <sheetFormatPr defaultRowHeight="13.5"/>
  <cols>
    <col min="1" max="1" width="10" customWidth="1"/>
    <col min="2" max="8" width="18" customWidth="1"/>
  </cols>
  <sheetData>
    <row r="1" spans="1:8" ht="28.05" customHeight="1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</row>
    <row r="2" spans="1:8" ht="26" customHeight="1">
      <c r="A2" s="8" t="s">
        <v>1</v>
      </c>
      <c r="B2" s="8" t="s">
        <v>1</v>
      </c>
      <c r="C2" s="8" t="s">
        <v>1</v>
      </c>
      <c r="D2" s="8" t="s">
        <v>1</v>
      </c>
      <c r="E2" s="8" t="s">
        <v>1</v>
      </c>
      <c r="F2" s="8" t="s">
        <v>1</v>
      </c>
      <c r="G2" s="8" t="s">
        <v>1</v>
      </c>
      <c r="H2" s="8" t="s">
        <v>1</v>
      </c>
    </row>
    <row r="3" spans="1:8" ht="14.25">
      <c r="A3" s="1"/>
      <c r="B3" s="1"/>
      <c r="C3" s="1"/>
      <c r="D3" s="1"/>
      <c r="E3" s="1"/>
      <c r="F3" s="1"/>
      <c r="G3" s="1"/>
      <c r="H3" s="1"/>
    </row>
    <row r="4" spans="1:8" ht="14.65">
      <c r="A4" s="9" t="s">
        <v>2</v>
      </c>
      <c r="B4" s="9"/>
      <c r="C4" s="9"/>
      <c r="D4" s="9"/>
      <c r="E4" s="9"/>
      <c r="F4" s="9"/>
      <c r="G4" s="9"/>
      <c r="H4" s="9"/>
    </row>
    <row r="5" spans="1:8" ht="55.5">
      <c r="A5" s="2" t="s">
        <v>3</v>
      </c>
      <c r="B5" s="2" t="s">
        <v>4</v>
      </c>
      <c r="C5" s="2" t="s">
        <v>5</v>
      </c>
      <c r="D5" s="2"/>
      <c r="E5" s="2"/>
      <c r="F5" s="2"/>
      <c r="G5" s="2"/>
      <c r="H5" s="2"/>
    </row>
    <row r="6" spans="1:8" ht="69.400000000000006">
      <c r="A6" s="2" t="s">
        <v>6</v>
      </c>
      <c r="B6" s="2" t="s">
        <v>7</v>
      </c>
      <c r="C6" s="2" t="s">
        <v>8</v>
      </c>
      <c r="D6" s="2"/>
      <c r="E6" s="2"/>
      <c r="F6" s="2"/>
      <c r="G6" s="2"/>
      <c r="H6" s="2"/>
    </row>
    <row r="7" spans="1:8" ht="55.5">
      <c r="A7" s="2" t="s">
        <v>9</v>
      </c>
      <c r="B7" s="2" t="s">
        <v>10</v>
      </c>
      <c r="C7" s="2" t="s">
        <v>11</v>
      </c>
      <c r="D7" s="2"/>
      <c r="E7" s="2"/>
      <c r="F7" s="2"/>
      <c r="G7" s="2"/>
      <c r="H7" s="2"/>
    </row>
    <row r="8" spans="1:8" ht="55.5">
      <c r="A8" s="2" t="s">
        <v>12</v>
      </c>
      <c r="B8" s="2" t="s">
        <v>13</v>
      </c>
      <c r="C8" s="2" t="s">
        <v>14</v>
      </c>
      <c r="D8" s="2"/>
      <c r="E8" s="2"/>
      <c r="F8" s="2"/>
      <c r="G8" s="2"/>
      <c r="H8" s="2"/>
    </row>
    <row r="9" spans="1:8" ht="69.400000000000006">
      <c r="A9" s="2" t="s">
        <v>15</v>
      </c>
      <c r="B9" s="2" t="s">
        <v>16</v>
      </c>
      <c r="C9" s="2" t="s">
        <v>17</v>
      </c>
      <c r="D9" s="2"/>
      <c r="E9" s="2"/>
      <c r="F9" s="2"/>
      <c r="G9" s="2"/>
      <c r="H9" s="2"/>
    </row>
    <row r="10" spans="1:8" ht="69.400000000000006">
      <c r="A10" s="2" t="s">
        <v>18</v>
      </c>
      <c r="B10" s="2" t="s">
        <v>19</v>
      </c>
      <c r="C10" s="2" t="s">
        <v>20</v>
      </c>
      <c r="D10" s="2"/>
      <c r="E10" s="2"/>
      <c r="F10" s="2"/>
      <c r="G10" s="2"/>
      <c r="H10" s="2"/>
    </row>
    <row r="11" spans="1:8" ht="55.5">
      <c r="A11" s="2" t="s">
        <v>21</v>
      </c>
      <c r="B11" s="2" t="s">
        <v>22</v>
      </c>
      <c r="C11" s="2" t="s">
        <v>23</v>
      </c>
      <c r="D11" s="2"/>
      <c r="E11" s="2"/>
      <c r="F11" s="2"/>
      <c r="G11" s="2"/>
      <c r="H11" s="2"/>
    </row>
    <row r="12" spans="1:8" ht="14.25">
      <c r="A12" s="1"/>
      <c r="B12" s="1"/>
      <c r="C12" s="1"/>
      <c r="D12" s="1"/>
      <c r="E12" s="1"/>
      <c r="F12" s="1"/>
      <c r="G12" s="1"/>
      <c r="H12" s="1"/>
    </row>
    <row r="13" spans="1:8" ht="14.65">
      <c r="A13" s="10" t="s">
        <v>24</v>
      </c>
      <c r="B13" s="10"/>
      <c r="C13" s="10"/>
      <c r="D13" s="10"/>
      <c r="E13" s="10"/>
      <c r="F13" s="10"/>
      <c r="G13" s="10"/>
      <c r="H13" s="10"/>
    </row>
    <row r="14" spans="1:8" ht="41.65">
      <c r="A14" s="2" t="s">
        <v>25</v>
      </c>
      <c r="B14" s="2" t="s">
        <v>26</v>
      </c>
      <c r="C14" s="2"/>
      <c r="D14" s="2"/>
      <c r="E14" s="2"/>
      <c r="F14" s="2"/>
      <c r="G14" s="2"/>
      <c r="H14" s="2"/>
    </row>
    <row r="15" spans="1:8" ht="97.15">
      <c r="A15" s="2" t="s">
        <v>27</v>
      </c>
      <c r="B15" s="2" t="s">
        <v>28</v>
      </c>
      <c r="C15" s="2"/>
      <c r="D15" s="2"/>
      <c r="E15" s="2"/>
      <c r="F15" s="2"/>
      <c r="G15" s="2"/>
      <c r="H15" s="2"/>
    </row>
    <row r="16" spans="1:8" ht="55.5">
      <c r="A16" s="2" t="s">
        <v>29</v>
      </c>
      <c r="B16" s="2" t="s">
        <v>30</v>
      </c>
      <c r="C16" s="2"/>
      <c r="D16" s="2"/>
      <c r="E16" s="2"/>
      <c r="F16" s="2"/>
      <c r="G16" s="2"/>
      <c r="H16" s="2"/>
    </row>
    <row r="17" spans="1:8" ht="41.65">
      <c r="A17" s="2" t="s">
        <v>31</v>
      </c>
      <c r="B17" s="2" t="s">
        <v>32</v>
      </c>
      <c r="C17" s="2"/>
      <c r="D17" s="2"/>
      <c r="E17" s="2"/>
      <c r="F17" s="2"/>
      <c r="G17" s="2"/>
      <c r="H17" s="2"/>
    </row>
    <row r="18" spans="1:8" ht="13.9">
      <c r="A18" s="2" t="s">
        <v>33</v>
      </c>
      <c r="B18" s="2" t="s">
        <v>34</v>
      </c>
      <c r="C18" s="2"/>
      <c r="D18" s="2"/>
      <c r="E18" s="2"/>
      <c r="F18" s="2"/>
      <c r="G18" s="2"/>
      <c r="H18" s="2"/>
    </row>
  </sheetData>
  <mergeCells count="4">
    <mergeCell ref="A1:H1"/>
    <mergeCell ref="A2:H2"/>
    <mergeCell ref="A4:H4"/>
    <mergeCell ref="A13:H1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showGridLines="0" workbookViewId="0"/>
  </sheetViews>
  <sheetFormatPr defaultRowHeight="13.5"/>
  <cols>
    <col min="1" max="1" width="8" customWidth="1"/>
    <col min="2" max="2" width="14" customWidth="1"/>
    <col min="3" max="3" width="25" customWidth="1"/>
    <col min="4" max="4" width="9" customWidth="1"/>
    <col min="5" max="5" width="11" customWidth="1"/>
    <col min="6" max="6" width="54" customWidth="1"/>
    <col min="7" max="7" width="14" customWidth="1"/>
    <col min="8" max="8" width="15" customWidth="1"/>
    <col min="9" max="9" width="16" customWidth="1"/>
    <col min="10" max="10" width="42" customWidth="1"/>
    <col min="11" max="11" width="11" customWidth="1"/>
  </cols>
  <sheetData>
    <row r="1" spans="1:11" ht="28.05" customHeight="1">
      <c r="A1" s="7" t="s">
        <v>35</v>
      </c>
      <c r="B1" s="7" t="s">
        <v>35</v>
      </c>
      <c r="C1" s="7" t="s">
        <v>35</v>
      </c>
      <c r="D1" s="7" t="s">
        <v>35</v>
      </c>
      <c r="E1" s="7" t="s">
        <v>35</v>
      </c>
      <c r="F1" s="7" t="s">
        <v>35</v>
      </c>
      <c r="G1" s="7" t="s">
        <v>35</v>
      </c>
      <c r="H1" s="7" t="s">
        <v>35</v>
      </c>
      <c r="I1" s="7" t="s">
        <v>35</v>
      </c>
      <c r="J1" s="7" t="s">
        <v>35</v>
      </c>
      <c r="K1" s="7" t="s">
        <v>35</v>
      </c>
    </row>
    <row r="2" spans="1:11" ht="26" customHeight="1">
      <c r="A2" s="8" t="s">
        <v>36</v>
      </c>
      <c r="B2" s="8" t="s">
        <v>36</v>
      </c>
      <c r="C2" s="8" t="s">
        <v>36</v>
      </c>
      <c r="D2" s="8" t="s">
        <v>36</v>
      </c>
      <c r="E2" s="8" t="s">
        <v>36</v>
      </c>
      <c r="F2" s="8" t="s">
        <v>36</v>
      </c>
      <c r="G2" s="8" t="s">
        <v>36</v>
      </c>
      <c r="H2" s="8" t="s">
        <v>36</v>
      </c>
      <c r="I2" s="8" t="s">
        <v>36</v>
      </c>
      <c r="J2" s="8" t="s">
        <v>36</v>
      </c>
      <c r="K2" s="8" t="s">
        <v>36</v>
      </c>
    </row>
    <row r="3" spans="1:11" ht="14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42" customHeight="1">
      <c r="A4" s="5" t="s">
        <v>37</v>
      </c>
      <c r="B4" s="5" t="s">
        <v>38</v>
      </c>
      <c r="C4" s="5" t="s">
        <v>39</v>
      </c>
      <c r="D4" s="5" t="s">
        <v>40</v>
      </c>
      <c r="E4" s="5" t="s">
        <v>41</v>
      </c>
      <c r="F4" s="5" t="s">
        <v>42</v>
      </c>
      <c r="G4" s="5" t="s">
        <v>43</v>
      </c>
      <c r="H4" s="5" t="s">
        <v>44</v>
      </c>
      <c r="I4" s="5" t="s">
        <v>45</v>
      </c>
      <c r="J4" s="5" t="s">
        <v>46</v>
      </c>
      <c r="K4" s="5" t="s">
        <v>47</v>
      </c>
    </row>
    <row r="5" spans="1:11" ht="42" customHeight="1">
      <c r="A5" s="2" t="s">
        <v>48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 t="s">
        <v>58</v>
      </c>
    </row>
    <row r="6" spans="1:11" ht="42" customHeight="1">
      <c r="A6" s="2" t="s">
        <v>59</v>
      </c>
      <c r="B6" s="2" t="s">
        <v>49</v>
      </c>
      <c r="C6" s="2" t="s">
        <v>60</v>
      </c>
      <c r="D6" s="2" t="s">
        <v>61</v>
      </c>
      <c r="E6" s="2" t="s">
        <v>52</v>
      </c>
      <c r="F6" s="2" t="s">
        <v>62</v>
      </c>
      <c r="G6" s="2" t="s">
        <v>63</v>
      </c>
      <c r="H6" s="2" t="s">
        <v>55</v>
      </c>
      <c r="I6" s="2" t="s">
        <v>56</v>
      </c>
      <c r="J6" s="2" t="s">
        <v>64</v>
      </c>
      <c r="K6" s="2" t="s">
        <v>58</v>
      </c>
    </row>
    <row r="7" spans="1:11" ht="42" customHeight="1">
      <c r="A7" s="2" t="s">
        <v>65</v>
      </c>
      <c r="B7" s="2" t="s">
        <v>49</v>
      </c>
      <c r="C7" s="2" t="s">
        <v>66</v>
      </c>
      <c r="D7" s="2" t="s">
        <v>67</v>
      </c>
      <c r="E7" s="2" t="s">
        <v>52</v>
      </c>
      <c r="F7" s="2" t="s">
        <v>68</v>
      </c>
      <c r="G7" s="2" t="s">
        <v>69</v>
      </c>
      <c r="H7" s="2" t="s">
        <v>55</v>
      </c>
      <c r="I7" s="2" t="s">
        <v>70</v>
      </c>
      <c r="J7" s="2" t="s">
        <v>71</v>
      </c>
      <c r="K7" s="2" t="s">
        <v>72</v>
      </c>
    </row>
    <row r="8" spans="1:11" ht="42" customHeight="1">
      <c r="A8" s="2" t="s">
        <v>73</v>
      </c>
      <c r="B8" s="2" t="s">
        <v>49</v>
      </c>
      <c r="C8" s="2" t="s">
        <v>74</v>
      </c>
      <c r="D8" s="2" t="s">
        <v>67</v>
      </c>
      <c r="E8" s="2" t="s">
        <v>52</v>
      </c>
      <c r="F8" s="2" t="s">
        <v>75</v>
      </c>
      <c r="G8" s="2" t="s">
        <v>54</v>
      </c>
      <c r="H8" s="2" t="s">
        <v>55</v>
      </c>
      <c r="I8" s="2" t="s">
        <v>56</v>
      </c>
      <c r="J8" s="2" t="s">
        <v>76</v>
      </c>
      <c r="K8" s="2" t="s">
        <v>72</v>
      </c>
    </row>
    <row r="9" spans="1:11" ht="42" customHeight="1">
      <c r="A9" s="2" t="s">
        <v>77</v>
      </c>
      <c r="B9" s="2" t="s">
        <v>49</v>
      </c>
      <c r="C9" s="2" t="s">
        <v>78</v>
      </c>
      <c r="D9" s="2" t="s">
        <v>61</v>
      </c>
      <c r="E9" s="2" t="s">
        <v>52</v>
      </c>
      <c r="F9" s="2" t="s">
        <v>79</v>
      </c>
      <c r="G9" s="2" t="s">
        <v>80</v>
      </c>
      <c r="H9" s="2" t="s">
        <v>55</v>
      </c>
      <c r="I9" s="2" t="s">
        <v>81</v>
      </c>
      <c r="J9" s="2" t="s">
        <v>82</v>
      </c>
      <c r="K9" s="2" t="s">
        <v>72</v>
      </c>
    </row>
    <row r="10" spans="1:11" ht="42" customHeight="1">
      <c r="A10" s="2" t="s">
        <v>83</v>
      </c>
      <c r="B10" s="2" t="s">
        <v>84</v>
      </c>
      <c r="C10" s="2" t="s">
        <v>85</v>
      </c>
      <c r="D10" s="2" t="s">
        <v>61</v>
      </c>
      <c r="E10" s="2" t="s">
        <v>52</v>
      </c>
      <c r="F10" s="2" t="s">
        <v>86</v>
      </c>
      <c r="G10" s="2" t="s">
        <v>54</v>
      </c>
      <c r="H10" s="2" t="s">
        <v>55</v>
      </c>
      <c r="I10" s="2" t="s">
        <v>56</v>
      </c>
      <c r="J10" s="2" t="s">
        <v>87</v>
      </c>
      <c r="K10" s="2" t="s">
        <v>58</v>
      </c>
    </row>
    <row r="11" spans="1:11" ht="42" customHeight="1">
      <c r="A11" s="2" t="s">
        <v>88</v>
      </c>
      <c r="B11" s="2" t="s">
        <v>84</v>
      </c>
      <c r="C11" s="2" t="s">
        <v>89</v>
      </c>
      <c r="D11" s="2" t="s">
        <v>67</v>
      </c>
      <c r="E11" s="2" t="s">
        <v>52</v>
      </c>
      <c r="F11" s="2" t="s">
        <v>90</v>
      </c>
      <c r="G11" s="2" t="s">
        <v>54</v>
      </c>
      <c r="H11" s="2" t="s">
        <v>55</v>
      </c>
      <c r="I11" s="2" t="s">
        <v>56</v>
      </c>
      <c r="J11" s="2" t="s">
        <v>91</v>
      </c>
      <c r="K11" s="2" t="s">
        <v>58</v>
      </c>
    </row>
    <row r="12" spans="1:11" ht="42" customHeight="1">
      <c r="A12" s="2" t="s">
        <v>92</v>
      </c>
      <c r="B12" s="2" t="s">
        <v>84</v>
      </c>
      <c r="C12" s="2" t="s">
        <v>93</v>
      </c>
      <c r="D12" s="2" t="s">
        <v>94</v>
      </c>
      <c r="E12" s="2" t="s">
        <v>52</v>
      </c>
      <c r="F12" s="2" t="s">
        <v>95</v>
      </c>
      <c r="G12" s="2" t="s">
        <v>54</v>
      </c>
      <c r="H12" s="2" t="s">
        <v>55</v>
      </c>
      <c r="I12" s="2" t="s">
        <v>96</v>
      </c>
      <c r="J12" s="2" t="s">
        <v>97</v>
      </c>
      <c r="K12" s="2" t="s">
        <v>72</v>
      </c>
    </row>
    <row r="13" spans="1:11" ht="42" customHeight="1">
      <c r="A13" s="2" t="s">
        <v>98</v>
      </c>
      <c r="B13" s="2" t="s">
        <v>84</v>
      </c>
      <c r="C13" s="2" t="s">
        <v>99</v>
      </c>
      <c r="D13" s="2" t="s">
        <v>94</v>
      </c>
      <c r="E13" s="2" t="s">
        <v>52</v>
      </c>
      <c r="F13" s="2" t="s">
        <v>100</v>
      </c>
      <c r="G13" s="2" t="s">
        <v>54</v>
      </c>
      <c r="H13" s="2" t="s">
        <v>55</v>
      </c>
      <c r="I13" s="2" t="s">
        <v>96</v>
      </c>
      <c r="J13" s="2" t="s">
        <v>101</v>
      </c>
      <c r="K13" s="2" t="s">
        <v>72</v>
      </c>
    </row>
    <row r="14" spans="1:11" ht="42" customHeight="1">
      <c r="A14" s="2" t="s">
        <v>102</v>
      </c>
      <c r="B14" s="2" t="s">
        <v>84</v>
      </c>
      <c r="C14" s="2" t="s">
        <v>103</v>
      </c>
      <c r="D14" s="2" t="s">
        <v>104</v>
      </c>
      <c r="E14" s="2" t="s">
        <v>52</v>
      </c>
      <c r="F14" s="2" t="s">
        <v>105</v>
      </c>
      <c r="G14" s="2" t="s">
        <v>54</v>
      </c>
      <c r="H14" s="2" t="s">
        <v>55</v>
      </c>
      <c r="I14" s="2" t="s">
        <v>96</v>
      </c>
      <c r="J14" s="2" t="s">
        <v>106</v>
      </c>
      <c r="K14" s="2" t="s">
        <v>58</v>
      </c>
    </row>
    <row r="15" spans="1:11" ht="42" customHeight="1">
      <c r="A15" s="2" t="s">
        <v>107</v>
      </c>
      <c r="B15" s="2" t="s">
        <v>84</v>
      </c>
      <c r="C15" s="2" t="s">
        <v>108</v>
      </c>
      <c r="D15" s="2" t="s">
        <v>109</v>
      </c>
      <c r="E15" s="2" t="s">
        <v>52</v>
      </c>
      <c r="F15" s="2" t="s">
        <v>110</v>
      </c>
      <c r="G15" s="2" t="s">
        <v>69</v>
      </c>
      <c r="H15" s="2" t="s">
        <v>55</v>
      </c>
      <c r="I15" s="2" t="s">
        <v>111</v>
      </c>
      <c r="J15" s="2" t="s">
        <v>112</v>
      </c>
      <c r="K15" s="2" t="s">
        <v>58</v>
      </c>
    </row>
    <row r="16" spans="1:11" ht="42" customHeight="1">
      <c r="A16" s="2" t="s">
        <v>113</v>
      </c>
      <c r="B16" s="2" t="s">
        <v>114</v>
      </c>
      <c r="C16" s="2" t="s">
        <v>115</v>
      </c>
      <c r="D16" s="2" t="s">
        <v>61</v>
      </c>
      <c r="E16" s="2" t="s">
        <v>52</v>
      </c>
      <c r="F16" s="2" t="s">
        <v>116</v>
      </c>
      <c r="G16" s="2" t="s">
        <v>80</v>
      </c>
      <c r="H16" s="2" t="s">
        <v>117</v>
      </c>
      <c r="I16" s="2" t="s">
        <v>118</v>
      </c>
      <c r="J16" s="2" t="s">
        <v>119</v>
      </c>
      <c r="K16" s="2" t="s">
        <v>72</v>
      </c>
    </row>
    <row r="17" spans="1:11" ht="42" customHeight="1">
      <c r="A17" s="2" t="s">
        <v>120</v>
      </c>
      <c r="B17" s="2" t="s">
        <v>114</v>
      </c>
      <c r="C17" s="2" t="s">
        <v>121</v>
      </c>
      <c r="D17" s="2" t="s">
        <v>109</v>
      </c>
      <c r="E17" s="2" t="s">
        <v>52</v>
      </c>
      <c r="F17" s="2" t="s">
        <v>122</v>
      </c>
      <c r="G17" s="2" t="s">
        <v>80</v>
      </c>
      <c r="H17" s="2" t="s">
        <v>117</v>
      </c>
      <c r="I17" s="2" t="s">
        <v>123</v>
      </c>
      <c r="J17" s="2" t="s">
        <v>124</v>
      </c>
      <c r="K17" s="2" t="s">
        <v>72</v>
      </c>
    </row>
    <row r="18" spans="1:11" ht="42" customHeight="1">
      <c r="A18" s="2" t="s">
        <v>125</v>
      </c>
      <c r="B18" s="2" t="s">
        <v>114</v>
      </c>
      <c r="C18" s="2" t="s">
        <v>126</v>
      </c>
      <c r="D18" s="2" t="s">
        <v>61</v>
      </c>
      <c r="E18" s="2" t="s">
        <v>52</v>
      </c>
      <c r="F18" s="2" t="s">
        <v>127</v>
      </c>
      <c r="G18" s="2" t="s">
        <v>128</v>
      </c>
      <c r="H18" s="2" t="s">
        <v>55</v>
      </c>
      <c r="I18" s="2" t="s">
        <v>129</v>
      </c>
      <c r="J18" s="2" t="s">
        <v>130</v>
      </c>
      <c r="K18" s="2" t="s">
        <v>58</v>
      </c>
    </row>
    <row r="19" spans="1:11" ht="42" customHeight="1">
      <c r="A19" s="2" t="s">
        <v>131</v>
      </c>
      <c r="B19" s="2" t="s">
        <v>114</v>
      </c>
      <c r="C19" s="2" t="s">
        <v>132</v>
      </c>
      <c r="D19" s="2" t="s">
        <v>104</v>
      </c>
      <c r="E19" s="2" t="s">
        <v>52</v>
      </c>
      <c r="F19" s="2" t="s">
        <v>133</v>
      </c>
      <c r="G19" s="2" t="s">
        <v>69</v>
      </c>
      <c r="H19" s="2" t="s">
        <v>55</v>
      </c>
      <c r="I19" s="2" t="s">
        <v>134</v>
      </c>
      <c r="J19" s="2" t="s">
        <v>135</v>
      </c>
      <c r="K19" s="2" t="s">
        <v>58</v>
      </c>
    </row>
    <row r="20" spans="1:11" ht="42" customHeight="1">
      <c r="A20" s="2" t="s">
        <v>136</v>
      </c>
      <c r="B20" s="2" t="s">
        <v>114</v>
      </c>
      <c r="C20" s="2" t="s">
        <v>137</v>
      </c>
      <c r="D20" s="2" t="s">
        <v>109</v>
      </c>
      <c r="E20" s="2" t="s">
        <v>52</v>
      </c>
      <c r="F20" s="2" t="s">
        <v>138</v>
      </c>
      <c r="G20" s="2" t="s">
        <v>69</v>
      </c>
      <c r="H20" s="2" t="s">
        <v>55</v>
      </c>
      <c r="I20" s="2" t="s">
        <v>111</v>
      </c>
      <c r="J20" s="2" t="s">
        <v>139</v>
      </c>
      <c r="K20" s="2" t="s">
        <v>58</v>
      </c>
    </row>
    <row r="21" spans="1:11" ht="42" customHeight="1">
      <c r="A21" s="2" t="s">
        <v>140</v>
      </c>
      <c r="B21" s="2" t="s">
        <v>141</v>
      </c>
      <c r="C21" s="2" t="s">
        <v>142</v>
      </c>
      <c r="D21" s="2" t="s">
        <v>143</v>
      </c>
      <c r="E21" s="2" t="s">
        <v>52</v>
      </c>
      <c r="F21" s="2" t="s">
        <v>144</v>
      </c>
      <c r="G21" s="2" t="s">
        <v>80</v>
      </c>
      <c r="H21" s="2" t="s">
        <v>117</v>
      </c>
      <c r="I21" s="2" t="s">
        <v>145</v>
      </c>
      <c r="J21" s="2" t="s">
        <v>146</v>
      </c>
      <c r="K21" s="2" t="s">
        <v>58</v>
      </c>
    </row>
    <row r="22" spans="1:11" ht="42" customHeight="1">
      <c r="A22" s="2" t="s">
        <v>147</v>
      </c>
      <c r="B22" s="2" t="s">
        <v>141</v>
      </c>
      <c r="C22" s="2" t="s">
        <v>148</v>
      </c>
      <c r="D22" s="2" t="s">
        <v>149</v>
      </c>
      <c r="E22" s="2" t="s">
        <v>52</v>
      </c>
      <c r="F22" s="2" t="s">
        <v>150</v>
      </c>
      <c r="G22" s="2" t="s">
        <v>54</v>
      </c>
      <c r="H22" s="2" t="s">
        <v>55</v>
      </c>
      <c r="I22" s="2" t="s">
        <v>56</v>
      </c>
      <c r="J22" s="2" t="s">
        <v>151</v>
      </c>
      <c r="K22" s="2" t="s">
        <v>58</v>
      </c>
    </row>
    <row r="23" spans="1:11" ht="42" customHeight="1">
      <c r="A23" s="2" t="s">
        <v>152</v>
      </c>
      <c r="B23" s="2" t="s">
        <v>153</v>
      </c>
      <c r="C23" s="2" t="s">
        <v>154</v>
      </c>
      <c r="D23" s="2"/>
      <c r="E23" s="2" t="s">
        <v>155</v>
      </c>
      <c r="F23" s="2" t="s">
        <v>156</v>
      </c>
      <c r="G23" s="2" t="s">
        <v>157</v>
      </c>
      <c r="H23" s="2" t="s">
        <v>55</v>
      </c>
      <c r="I23" s="2" t="s">
        <v>158</v>
      </c>
      <c r="J23" s="2" t="s">
        <v>159</v>
      </c>
      <c r="K23" s="2" t="s">
        <v>72</v>
      </c>
    </row>
    <row r="24" spans="1:11" ht="42" customHeight="1">
      <c r="A24" s="2" t="s">
        <v>160</v>
      </c>
      <c r="B24" s="2" t="s">
        <v>153</v>
      </c>
      <c r="C24" s="2" t="s">
        <v>161</v>
      </c>
      <c r="D24" s="2"/>
      <c r="E24" s="2" t="s">
        <v>155</v>
      </c>
      <c r="F24" s="2" t="s">
        <v>162</v>
      </c>
      <c r="G24" s="2" t="s">
        <v>54</v>
      </c>
      <c r="H24" s="2" t="s">
        <v>55</v>
      </c>
      <c r="I24" s="2" t="s">
        <v>81</v>
      </c>
      <c r="J24" s="2" t="s">
        <v>163</v>
      </c>
      <c r="K24" s="2" t="s">
        <v>164</v>
      </c>
    </row>
    <row r="25" spans="1:11" ht="42" customHeight="1">
      <c r="A25" s="2" t="s">
        <v>165</v>
      </c>
      <c r="B25" s="2" t="s">
        <v>153</v>
      </c>
      <c r="C25" s="2" t="s">
        <v>166</v>
      </c>
      <c r="D25" s="2"/>
      <c r="E25" s="2" t="s">
        <v>155</v>
      </c>
      <c r="F25" s="2" t="s">
        <v>167</v>
      </c>
      <c r="G25" s="2" t="s">
        <v>168</v>
      </c>
      <c r="H25" s="2" t="s">
        <v>55</v>
      </c>
      <c r="I25" s="2" t="s">
        <v>169</v>
      </c>
      <c r="J25" s="2" t="s">
        <v>170</v>
      </c>
      <c r="K25" s="2" t="s">
        <v>72</v>
      </c>
    </row>
    <row r="26" spans="1:11" ht="42" customHeight="1">
      <c r="A26" s="2" t="s">
        <v>171</v>
      </c>
      <c r="B26" s="2" t="s">
        <v>153</v>
      </c>
      <c r="C26" s="2" t="s">
        <v>172</v>
      </c>
      <c r="D26" s="2"/>
      <c r="E26" s="2" t="s">
        <v>155</v>
      </c>
      <c r="F26" s="2" t="s">
        <v>173</v>
      </c>
      <c r="G26" s="2" t="s">
        <v>54</v>
      </c>
      <c r="H26" s="2" t="s">
        <v>55</v>
      </c>
      <c r="I26" s="2" t="s">
        <v>96</v>
      </c>
      <c r="J26" s="2" t="s">
        <v>174</v>
      </c>
      <c r="K26" s="2" t="s">
        <v>164</v>
      </c>
    </row>
    <row r="27" spans="1:11" ht="42" customHeight="1">
      <c r="A27" s="2" t="s">
        <v>175</v>
      </c>
      <c r="B27" s="2" t="s">
        <v>153</v>
      </c>
      <c r="C27" s="2" t="s">
        <v>176</v>
      </c>
      <c r="D27" s="2"/>
      <c r="E27" s="2" t="s">
        <v>155</v>
      </c>
      <c r="F27" s="2" t="s">
        <v>177</v>
      </c>
      <c r="G27" s="2" t="s">
        <v>54</v>
      </c>
      <c r="H27" s="2" t="s">
        <v>55</v>
      </c>
      <c r="I27" s="2" t="s">
        <v>96</v>
      </c>
      <c r="J27" s="2" t="s">
        <v>178</v>
      </c>
      <c r="K27" s="2" t="s">
        <v>72</v>
      </c>
    </row>
    <row r="28" spans="1:11" ht="42" customHeight="1">
      <c r="A28" s="2" t="s">
        <v>179</v>
      </c>
      <c r="B28" s="2" t="s">
        <v>180</v>
      </c>
      <c r="C28" s="2" t="s">
        <v>181</v>
      </c>
      <c r="D28" s="2"/>
      <c r="E28" s="2" t="s">
        <v>182</v>
      </c>
      <c r="F28" s="2" t="s">
        <v>183</v>
      </c>
      <c r="G28" s="2" t="s">
        <v>80</v>
      </c>
      <c r="H28" s="2" t="s">
        <v>117</v>
      </c>
      <c r="I28" s="2" t="s">
        <v>184</v>
      </c>
      <c r="J28" s="2" t="s">
        <v>185</v>
      </c>
      <c r="K28" s="2" t="s">
        <v>58</v>
      </c>
    </row>
    <row r="29" spans="1:11" ht="42" customHeight="1">
      <c r="A29" s="2" t="s">
        <v>186</v>
      </c>
      <c r="B29" s="2" t="s">
        <v>180</v>
      </c>
      <c r="C29" s="2" t="s">
        <v>187</v>
      </c>
      <c r="D29" s="2"/>
      <c r="E29" s="2" t="s">
        <v>182</v>
      </c>
      <c r="F29" s="2" t="s">
        <v>188</v>
      </c>
      <c r="G29" s="2" t="s">
        <v>80</v>
      </c>
      <c r="H29" s="2" t="s">
        <v>117</v>
      </c>
      <c r="I29" s="2" t="s">
        <v>189</v>
      </c>
      <c r="J29" s="2" t="s">
        <v>190</v>
      </c>
      <c r="K29" s="2" t="s">
        <v>72</v>
      </c>
    </row>
    <row r="30" spans="1:11" ht="42" customHeight="1">
      <c r="A30" s="2" t="s">
        <v>191</v>
      </c>
      <c r="B30" s="2" t="s">
        <v>180</v>
      </c>
      <c r="C30" s="2" t="s">
        <v>192</v>
      </c>
      <c r="D30" s="2"/>
      <c r="E30" s="2" t="s">
        <v>193</v>
      </c>
      <c r="F30" s="2" t="s">
        <v>194</v>
      </c>
      <c r="G30" s="2" t="s">
        <v>80</v>
      </c>
      <c r="H30" s="2" t="s">
        <v>55</v>
      </c>
      <c r="I30" s="2" t="s">
        <v>96</v>
      </c>
      <c r="J30" s="2" t="s">
        <v>195</v>
      </c>
      <c r="K30" s="2" t="s">
        <v>196</v>
      </c>
    </row>
    <row r="31" spans="1:11" ht="42" customHeight="1">
      <c r="A31" s="2" t="s">
        <v>197</v>
      </c>
      <c r="B31" s="2" t="s">
        <v>180</v>
      </c>
      <c r="C31" s="2" t="s">
        <v>198</v>
      </c>
      <c r="D31" s="2"/>
      <c r="E31" s="2" t="s">
        <v>193</v>
      </c>
      <c r="F31" s="2" t="s">
        <v>199</v>
      </c>
      <c r="G31" s="2" t="s">
        <v>80</v>
      </c>
      <c r="H31" s="2" t="s">
        <v>55</v>
      </c>
      <c r="I31" s="2" t="s">
        <v>81</v>
      </c>
      <c r="J31" s="2" t="s">
        <v>200</v>
      </c>
      <c r="K31" s="2" t="s">
        <v>196</v>
      </c>
    </row>
    <row r="32" spans="1:11" ht="42" customHeight="1">
      <c r="A32" s="2" t="s">
        <v>201</v>
      </c>
      <c r="B32" s="2" t="s">
        <v>180</v>
      </c>
      <c r="C32" s="2" t="s">
        <v>202</v>
      </c>
      <c r="D32" s="2"/>
      <c r="E32" s="2" t="s">
        <v>193</v>
      </c>
      <c r="F32" s="2" t="s">
        <v>203</v>
      </c>
      <c r="G32" s="2" t="s">
        <v>80</v>
      </c>
      <c r="H32" s="2" t="s">
        <v>55</v>
      </c>
      <c r="I32" s="2" t="s">
        <v>111</v>
      </c>
      <c r="J32" s="2" t="s">
        <v>204</v>
      </c>
      <c r="K32" s="2" t="s">
        <v>196</v>
      </c>
    </row>
  </sheetData>
  <mergeCells count="2">
    <mergeCell ref="A1:K1"/>
    <mergeCell ref="A2:K2"/>
  </mergeCells>
  <phoneticPr fontId="4" type="noConversion"/>
  <conditionalFormatting sqref="H5:H32">
    <cfRule type="containsText" dxfId="2" priority="1" operator="containsText" text="已覆盖"/>
    <cfRule type="containsText" dxfId="1" priority="2" operator="containsText" text="待官方核验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showGridLines="0" tabSelected="1" zoomScale="70" zoomScaleNormal="70" workbookViewId="0">
      <selection activeCell="M27" sqref="M27"/>
    </sheetView>
  </sheetViews>
  <sheetFormatPr defaultRowHeight="13.5"/>
  <cols>
    <col min="1" max="1" width="9" customWidth="1"/>
    <col min="2" max="2" width="22" customWidth="1"/>
    <col min="3" max="4" width="24" customWidth="1"/>
    <col min="5" max="5" width="13" customWidth="1"/>
    <col min="6" max="6" width="15" customWidth="1"/>
    <col min="7" max="7" width="28" customWidth="1"/>
    <col min="8" max="8" width="38" customWidth="1"/>
    <col min="9" max="9" width="14" customWidth="1"/>
    <col min="10" max="10" width="32" customWidth="1"/>
  </cols>
  <sheetData>
    <row r="1" spans="1:10" ht="28.05" customHeight="1">
      <c r="A1" s="19" t="s">
        <v>205</v>
      </c>
      <c r="B1" s="19" t="s">
        <v>205</v>
      </c>
      <c r="C1" s="19" t="s">
        <v>205</v>
      </c>
      <c r="D1" s="19" t="s">
        <v>205</v>
      </c>
      <c r="E1" s="19" t="s">
        <v>205</v>
      </c>
      <c r="F1" s="19" t="s">
        <v>205</v>
      </c>
      <c r="G1" s="19" t="s">
        <v>205</v>
      </c>
      <c r="H1" s="19" t="s">
        <v>205</v>
      </c>
      <c r="I1" s="19" t="s">
        <v>205</v>
      </c>
      <c r="J1" s="19" t="s">
        <v>205</v>
      </c>
    </row>
    <row r="2" spans="1:10" ht="26" customHeight="1">
      <c r="A2" s="20" t="s">
        <v>206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14.25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0" ht="36" customHeight="1">
      <c r="A4" s="18" t="s">
        <v>207</v>
      </c>
      <c r="B4" s="18" t="s">
        <v>208</v>
      </c>
      <c r="C4" s="18" t="s">
        <v>209</v>
      </c>
      <c r="D4" s="18" t="s">
        <v>210</v>
      </c>
      <c r="E4" s="18" t="s">
        <v>211</v>
      </c>
      <c r="F4" s="18" t="s">
        <v>43</v>
      </c>
      <c r="G4" s="18" t="s">
        <v>212</v>
      </c>
      <c r="H4" s="18" t="s">
        <v>213</v>
      </c>
      <c r="I4" s="18" t="s">
        <v>45</v>
      </c>
      <c r="J4" s="18" t="s">
        <v>46</v>
      </c>
    </row>
    <row r="5" spans="1:10" ht="36" customHeight="1">
      <c r="A5" s="11" t="s">
        <v>214</v>
      </c>
      <c r="B5" s="11" t="s">
        <v>215</v>
      </c>
      <c r="C5" s="11">
        <v>15507524</v>
      </c>
      <c r="D5" s="11">
        <v>38224999</v>
      </c>
      <c r="E5" s="11" t="s">
        <v>216</v>
      </c>
      <c r="F5" s="11" t="s">
        <v>54</v>
      </c>
      <c r="G5" s="11" t="s">
        <v>217</v>
      </c>
      <c r="H5" s="12">
        <f>C5/D5</f>
        <v>0.40569063193435267</v>
      </c>
      <c r="I5" s="11" t="s">
        <v>96</v>
      </c>
      <c r="J5" s="11" t="s">
        <v>218</v>
      </c>
    </row>
    <row r="6" spans="1:10" ht="36" customHeight="1">
      <c r="A6" s="11" t="s">
        <v>219</v>
      </c>
      <c r="B6" s="11" t="s">
        <v>220</v>
      </c>
      <c r="C6" s="11">
        <v>15507524</v>
      </c>
      <c r="D6" s="11">
        <v>14139839</v>
      </c>
      <c r="E6" s="11" t="s">
        <v>216</v>
      </c>
      <c r="F6" s="11" t="s">
        <v>54</v>
      </c>
      <c r="G6" s="11" t="s">
        <v>221</v>
      </c>
      <c r="H6" s="12">
        <f>(C6-D6)/D6</f>
        <v>9.672564164273724E-2</v>
      </c>
      <c r="I6" s="11" t="s">
        <v>96</v>
      </c>
      <c r="J6" s="11" t="s">
        <v>222</v>
      </c>
    </row>
    <row r="7" spans="1:10" ht="36" customHeight="1">
      <c r="A7" s="11" t="s">
        <v>223</v>
      </c>
      <c r="B7" s="11" t="s">
        <v>224</v>
      </c>
      <c r="C7" s="11">
        <v>38224999</v>
      </c>
      <c r="D7" s="11">
        <v>27213955</v>
      </c>
      <c r="E7" s="11" t="s">
        <v>216</v>
      </c>
      <c r="F7" s="11" t="s">
        <v>54</v>
      </c>
      <c r="G7" s="11" t="s">
        <v>225</v>
      </c>
      <c r="H7" s="12">
        <f>(C7-D7)/D7</f>
        <v>0.40461020825528665</v>
      </c>
      <c r="I7" s="11" t="s">
        <v>96</v>
      </c>
      <c r="J7" s="11" t="s">
        <v>226</v>
      </c>
    </row>
    <row r="8" spans="1:10" ht="36" customHeight="1">
      <c r="A8" s="11" t="s">
        <v>227</v>
      </c>
      <c r="B8" s="11" t="s">
        <v>89</v>
      </c>
      <c r="C8" s="11">
        <v>13713064</v>
      </c>
      <c r="D8" s="11">
        <v>38224999</v>
      </c>
      <c r="E8" s="11" t="s">
        <v>216</v>
      </c>
      <c r="F8" s="11" t="s">
        <v>54</v>
      </c>
      <c r="G8" s="11" t="s">
        <v>228</v>
      </c>
      <c r="H8" s="12">
        <f>C8/D8</f>
        <v>0.35874596098746792</v>
      </c>
      <c r="I8" s="11" t="s">
        <v>96</v>
      </c>
      <c r="J8" s="11" t="s">
        <v>229</v>
      </c>
    </row>
    <row r="9" spans="1:10" ht="36" customHeight="1">
      <c r="A9" s="11" t="s">
        <v>230</v>
      </c>
      <c r="B9" s="11" t="s">
        <v>231</v>
      </c>
      <c r="C9" s="11">
        <v>4281</v>
      </c>
      <c r="D9" s="11">
        <v>11825</v>
      </c>
      <c r="E9" s="11" t="s">
        <v>232</v>
      </c>
      <c r="F9" s="11" t="s">
        <v>63</v>
      </c>
      <c r="G9" s="11" t="s">
        <v>233</v>
      </c>
      <c r="H9" s="12">
        <f>C9/D9</f>
        <v>0.3620295983086681</v>
      </c>
      <c r="I9" s="11" t="s">
        <v>96</v>
      </c>
      <c r="J9" s="11" t="s">
        <v>234</v>
      </c>
    </row>
    <row r="10" spans="1:10" ht="36" customHeight="1">
      <c r="A10" s="11" t="s">
        <v>235</v>
      </c>
      <c r="B10" s="11" t="s">
        <v>236</v>
      </c>
      <c r="C10" s="11">
        <v>2610</v>
      </c>
      <c r="D10" s="11">
        <v>4281</v>
      </c>
      <c r="E10" s="11" t="s">
        <v>232</v>
      </c>
      <c r="F10" s="11" t="s">
        <v>63</v>
      </c>
      <c r="G10" s="11" t="s">
        <v>237</v>
      </c>
      <c r="H10" s="12">
        <f>C10/D10</f>
        <v>0.60967063770147167</v>
      </c>
      <c r="I10" s="11" t="s">
        <v>96</v>
      </c>
      <c r="J10" s="11" t="s">
        <v>238</v>
      </c>
    </row>
    <row r="11" spans="1:10" ht="36" customHeight="1">
      <c r="A11" s="11" t="s">
        <v>239</v>
      </c>
      <c r="B11" s="11" t="s">
        <v>240</v>
      </c>
      <c r="C11" s="11">
        <v>66</v>
      </c>
      <c r="D11" s="11">
        <v>68</v>
      </c>
      <c r="E11" s="11" t="s">
        <v>241</v>
      </c>
      <c r="F11" s="11" t="s">
        <v>63</v>
      </c>
      <c r="G11" s="11" t="s">
        <v>242</v>
      </c>
      <c r="H11" s="11">
        <f>C11+D11+33+16+146</f>
        <v>329</v>
      </c>
      <c r="I11" s="11" t="s">
        <v>96</v>
      </c>
      <c r="J11" s="11" t="s">
        <v>243</v>
      </c>
    </row>
    <row r="12" spans="1:10" ht="36" customHeight="1">
      <c r="A12" s="11" t="s">
        <v>244</v>
      </c>
      <c r="B12" s="11" t="s">
        <v>245</v>
      </c>
      <c r="C12" s="11">
        <v>6867210</v>
      </c>
      <c r="D12" s="11">
        <v>38224999</v>
      </c>
      <c r="E12" s="11" t="s">
        <v>216</v>
      </c>
      <c r="F12" s="11" t="s">
        <v>54</v>
      </c>
      <c r="G12" s="11" t="s">
        <v>246</v>
      </c>
      <c r="H12" s="12">
        <f>C12/D12</f>
        <v>0.17965232647880514</v>
      </c>
      <c r="I12" s="11" t="s">
        <v>96</v>
      </c>
      <c r="J12" s="11" t="s">
        <v>247</v>
      </c>
    </row>
    <row r="13" spans="1:10" ht="36" customHeight="1">
      <c r="A13" s="11" t="s">
        <v>248</v>
      </c>
      <c r="B13" s="11" t="s">
        <v>249</v>
      </c>
      <c r="C13" s="11">
        <v>24387009</v>
      </c>
      <c r="D13" s="11">
        <v>38224999</v>
      </c>
      <c r="E13" s="11" t="s">
        <v>216</v>
      </c>
      <c r="F13" s="11" t="s">
        <v>54</v>
      </c>
      <c r="G13" s="11" t="s">
        <v>250</v>
      </c>
      <c r="H13" s="12">
        <f>C13/D13</f>
        <v>0.63798586364907428</v>
      </c>
      <c r="I13" s="11" t="s">
        <v>96</v>
      </c>
      <c r="J13" s="11" t="s">
        <v>247</v>
      </c>
    </row>
    <row r="14" spans="1:10" ht="36" customHeight="1">
      <c r="A14" s="11" t="s">
        <v>251</v>
      </c>
      <c r="B14" s="11" t="s">
        <v>252</v>
      </c>
      <c r="C14" s="11" t="s">
        <v>253</v>
      </c>
      <c r="D14" s="11">
        <v>3351431</v>
      </c>
      <c r="E14" s="11" t="s">
        <v>254</v>
      </c>
      <c r="F14" s="11" t="s">
        <v>54</v>
      </c>
      <c r="G14" s="11" t="s">
        <v>255</v>
      </c>
      <c r="H14" s="11" t="s">
        <v>253</v>
      </c>
      <c r="I14" s="11" t="s">
        <v>96</v>
      </c>
      <c r="J14" s="11" t="s">
        <v>256</v>
      </c>
    </row>
    <row r="15" spans="1:10" ht="36" customHeight="1">
      <c r="A15" s="13" t="s">
        <v>257</v>
      </c>
      <c r="B15" s="13" t="s">
        <v>258</v>
      </c>
      <c r="C15" s="13" t="s">
        <v>259</v>
      </c>
      <c r="D15" s="13">
        <v>6729782</v>
      </c>
      <c r="E15" s="13" t="s">
        <v>254</v>
      </c>
      <c r="F15" s="13" t="s">
        <v>54</v>
      </c>
      <c r="G15" s="13" t="s">
        <v>260</v>
      </c>
      <c r="H15" s="14" t="s">
        <v>259</v>
      </c>
      <c r="I15" s="13" t="s">
        <v>96</v>
      </c>
      <c r="J15" s="13" t="s">
        <v>256</v>
      </c>
    </row>
    <row r="16" spans="1:10" ht="36" customHeight="1">
      <c r="A16" s="13" t="s">
        <v>261</v>
      </c>
      <c r="B16" s="13" t="s">
        <v>262</v>
      </c>
      <c r="C16" s="13">
        <v>1247278</v>
      </c>
      <c r="D16" s="13">
        <v>57305412</v>
      </c>
      <c r="E16" s="13" t="s">
        <v>216</v>
      </c>
      <c r="F16" s="13" t="s">
        <v>63</v>
      </c>
      <c r="G16" s="13" t="s">
        <v>263</v>
      </c>
      <c r="H16" s="15">
        <f>C16/D16</f>
        <v>2.1765448610682706E-2</v>
      </c>
      <c r="I16" s="13" t="s">
        <v>96</v>
      </c>
      <c r="J16" s="13" t="s">
        <v>264</v>
      </c>
    </row>
    <row r="17" spans="1:10" ht="36" customHeight="1">
      <c r="A17" s="13" t="s">
        <v>265</v>
      </c>
      <c r="B17" s="13" t="s">
        <v>266</v>
      </c>
      <c r="C17" s="13">
        <v>157354</v>
      </c>
      <c r="D17" s="13"/>
      <c r="E17" s="13" t="s">
        <v>216</v>
      </c>
      <c r="F17" s="13" t="s">
        <v>54</v>
      </c>
      <c r="G17" s="13" t="s">
        <v>267</v>
      </c>
      <c r="H17" s="16"/>
      <c r="I17" s="13" t="s">
        <v>96</v>
      </c>
      <c r="J17" s="13" t="s">
        <v>268</v>
      </c>
    </row>
    <row r="18" spans="1:10" ht="36" customHeight="1">
      <c r="A18" s="13" t="s">
        <v>269</v>
      </c>
      <c r="B18" s="13" t="s">
        <v>270</v>
      </c>
      <c r="C18" s="13">
        <v>6757488</v>
      </c>
      <c r="D18" s="13">
        <v>57305412</v>
      </c>
      <c r="E18" s="13" t="s">
        <v>216</v>
      </c>
      <c r="F18" s="13" t="s">
        <v>63</v>
      </c>
      <c r="G18" s="13" t="s">
        <v>271</v>
      </c>
      <c r="H18" s="15">
        <f>C18/D18</f>
        <v>0.11792059011808519</v>
      </c>
      <c r="I18" s="13" t="s">
        <v>96</v>
      </c>
      <c r="J18" s="13" t="s">
        <v>264</v>
      </c>
    </row>
    <row r="19" spans="1:10" ht="36" customHeight="1">
      <c r="A19" s="13" t="s">
        <v>272</v>
      </c>
      <c r="B19" s="13" t="s">
        <v>273</v>
      </c>
      <c r="C19" s="13">
        <v>2600627</v>
      </c>
      <c r="D19" s="13">
        <v>427272</v>
      </c>
      <c r="E19" s="13" t="s">
        <v>216</v>
      </c>
      <c r="F19" s="13" t="s">
        <v>54</v>
      </c>
      <c r="G19" s="13" t="s">
        <v>274</v>
      </c>
      <c r="H19" s="13">
        <f>C19/D19</f>
        <v>6.0865841899305364</v>
      </c>
      <c r="I19" s="13" t="s">
        <v>96</v>
      </c>
      <c r="J19" s="13" t="s">
        <v>268</v>
      </c>
    </row>
    <row r="20" spans="1:10" ht="36" customHeight="1">
      <c r="A20" s="13" t="s">
        <v>275</v>
      </c>
      <c r="B20" s="13" t="s">
        <v>276</v>
      </c>
      <c r="C20" s="13">
        <v>53707914</v>
      </c>
      <c r="D20" s="13">
        <v>1387367704</v>
      </c>
      <c r="E20" s="13" t="s">
        <v>277</v>
      </c>
      <c r="F20" s="13" t="s">
        <v>54</v>
      </c>
      <c r="G20" s="13" t="s">
        <v>278</v>
      </c>
      <c r="H20" s="15">
        <f>C20/D20</f>
        <v>3.87120976257063E-2</v>
      </c>
      <c r="I20" s="13" t="s">
        <v>96</v>
      </c>
      <c r="J20" s="13" t="s">
        <v>279</v>
      </c>
    </row>
    <row r="21" spans="1:10" ht="36" customHeight="1">
      <c r="A21" s="13" t="s">
        <v>280</v>
      </c>
      <c r="B21" s="13" t="s">
        <v>148</v>
      </c>
      <c r="C21" s="13">
        <v>26184810</v>
      </c>
      <c r="D21" s="13">
        <v>38224999</v>
      </c>
      <c r="E21" s="13" t="s">
        <v>216</v>
      </c>
      <c r="F21" s="13" t="s">
        <v>54</v>
      </c>
      <c r="G21" s="13" t="s">
        <v>281</v>
      </c>
      <c r="H21" s="15">
        <f>C21/D21</f>
        <v>0.6850179381299657</v>
      </c>
      <c r="I21" s="13" t="s">
        <v>96</v>
      </c>
      <c r="J21" s="13" t="s">
        <v>282</v>
      </c>
    </row>
    <row r="22" spans="1:10" ht="36" customHeight="1">
      <c r="A22" s="13" t="s">
        <v>283</v>
      </c>
      <c r="B22" s="13" t="s">
        <v>284</v>
      </c>
      <c r="C22" s="13">
        <v>38818382</v>
      </c>
      <c r="D22" s="13">
        <v>57305412</v>
      </c>
      <c r="E22" s="13" t="s">
        <v>216</v>
      </c>
      <c r="F22" s="13" t="s">
        <v>63</v>
      </c>
      <c r="G22" s="13" t="s">
        <v>285</v>
      </c>
      <c r="H22" s="15">
        <f>C22/D22</f>
        <v>0.67739469354133608</v>
      </c>
      <c r="I22" s="13" t="s">
        <v>96</v>
      </c>
      <c r="J22" s="13" t="s">
        <v>286</v>
      </c>
    </row>
    <row r="23" spans="1:10" ht="36" customHeight="1">
      <c r="A23" s="13" t="s">
        <v>287</v>
      </c>
      <c r="B23" s="13" t="s">
        <v>288</v>
      </c>
      <c r="C23" s="13" t="s">
        <v>289</v>
      </c>
      <c r="D23" s="13" t="s">
        <v>290</v>
      </c>
      <c r="E23" s="13" t="s">
        <v>291</v>
      </c>
      <c r="F23" s="13" t="s">
        <v>63</v>
      </c>
      <c r="G23" s="13" t="s">
        <v>292</v>
      </c>
      <c r="H23" s="13" t="s">
        <v>293</v>
      </c>
      <c r="I23" s="13" t="s">
        <v>96</v>
      </c>
      <c r="J23" s="13" t="s">
        <v>294</v>
      </c>
    </row>
    <row r="24" spans="1:10" ht="36" customHeight="1">
      <c r="A24" s="13" t="s">
        <v>295</v>
      </c>
      <c r="B24" s="13" t="s">
        <v>296</v>
      </c>
      <c r="C24" s="13" t="s">
        <v>297</v>
      </c>
      <c r="D24" s="13"/>
      <c r="E24" s="13" t="s">
        <v>298</v>
      </c>
      <c r="F24" s="13" t="s">
        <v>54</v>
      </c>
      <c r="G24" s="13" t="s">
        <v>292</v>
      </c>
      <c r="H24" s="13" t="s">
        <v>299</v>
      </c>
      <c r="I24" s="13" t="s">
        <v>96</v>
      </c>
      <c r="J24" s="13" t="s">
        <v>300</v>
      </c>
    </row>
    <row r="25" spans="1:10" ht="36" customHeight="1">
      <c r="A25" s="13" t="s">
        <v>301</v>
      </c>
      <c r="B25" s="13" t="s">
        <v>302</v>
      </c>
      <c r="C25" s="13" t="s">
        <v>303</v>
      </c>
      <c r="D25" s="13" t="s">
        <v>304</v>
      </c>
      <c r="E25" s="13" t="s">
        <v>305</v>
      </c>
      <c r="F25" s="13" t="s">
        <v>306</v>
      </c>
      <c r="G25" s="13" t="s">
        <v>292</v>
      </c>
      <c r="H25" s="13" t="s">
        <v>307</v>
      </c>
      <c r="I25" s="13" t="s">
        <v>96</v>
      </c>
      <c r="J25" s="13" t="s">
        <v>308</v>
      </c>
    </row>
    <row r="26" spans="1:10" ht="36" customHeight="1">
      <c r="A26" s="13" t="s">
        <v>309</v>
      </c>
      <c r="B26" s="13" t="s">
        <v>310</v>
      </c>
      <c r="C26" s="13" t="s">
        <v>311</v>
      </c>
      <c r="D26" s="13" t="s">
        <v>312</v>
      </c>
      <c r="E26" s="13" t="s">
        <v>305</v>
      </c>
      <c r="F26" s="13" t="s">
        <v>306</v>
      </c>
      <c r="G26" s="13" t="s">
        <v>292</v>
      </c>
      <c r="H26" s="13" t="s">
        <v>307</v>
      </c>
      <c r="I26" s="13" t="s">
        <v>96</v>
      </c>
      <c r="J26" s="13" t="s">
        <v>308</v>
      </c>
    </row>
    <row r="27" spans="1:10" ht="36" customHeight="1">
      <c r="A27" s="13" t="s">
        <v>313</v>
      </c>
      <c r="B27" s="13" t="s">
        <v>314</v>
      </c>
      <c r="C27" s="13" t="s">
        <v>315</v>
      </c>
      <c r="D27" s="13" t="s">
        <v>316</v>
      </c>
      <c r="E27" s="13" t="s">
        <v>298</v>
      </c>
      <c r="F27" s="13" t="s">
        <v>128</v>
      </c>
      <c r="G27" s="13" t="s">
        <v>317</v>
      </c>
      <c r="H27" s="13" t="s">
        <v>318</v>
      </c>
      <c r="I27" s="13" t="s">
        <v>129</v>
      </c>
      <c r="J27" s="13" t="s">
        <v>319</v>
      </c>
    </row>
    <row r="28" spans="1:10" ht="36" customHeight="1">
      <c r="A28" s="13" t="s">
        <v>320</v>
      </c>
      <c r="B28" s="13" t="s">
        <v>321</v>
      </c>
      <c r="C28" s="13" t="s">
        <v>322</v>
      </c>
      <c r="D28" s="13"/>
      <c r="E28" s="13" t="s">
        <v>291</v>
      </c>
      <c r="F28" s="13" t="s">
        <v>54</v>
      </c>
      <c r="G28" s="13" t="s">
        <v>323</v>
      </c>
      <c r="H28" s="13" t="s">
        <v>324</v>
      </c>
      <c r="I28" s="13" t="s">
        <v>96</v>
      </c>
      <c r="J28" s="13" t="s">
        <v>325</v>
      </c>
    </row>
    <row r="29" spans="1:10" ht="36" customHeight="1">
      <c r="A29" s="13" t="s">
        <v>326</v>
      </c>
      <c r="B29" s="13" t="s">
        <v>327</v>
      </c>
      <c r="C29" s="13" t="s">
        <v>328</v>
      </c>
      <c r="D29" s="13" t="s">
        <v>329</v>
      </c>
      <c r="E29" s="13" t="s">
        <v>291</v>
      </c>
      <c r="F29" s="13" t="s">
        <v>306</v>
      </c>
      <c r="G29" s="13" t="s">
        <v>330</v>
      </c>
      <c r="H29" s="13" t="s">
        <v>331</v>
      </c>
      <c r="I29" s="13" t="s">
        <v>96</v>
      </c>
      <c r="J29" s="13" t="s">
        <v>332</v>
      </c>
    </row>
    <row r="30" spans="1:10" ht="36" customHeight="1">
      <c r="A30" s="13" t="s">
        <v>333</v>
      </c>
      <c r="B30" s="13" t="s">
        <v>334</v>
      </c>
      <c r="C30" s="13" t="s">
        <v>335</v>
      </c>
      <c r="D30" s="13" t="s">
        <v>336</v>
      </c>
      <c r="E30" s="13" t="s">
        <v>216</v>
      </c>
      <c r="F30" s="13" t="s">
        <v>54</v>
      </c>
      <c r="G30" s="13" t="s">
        <v>337</v>
      </c>
      <c r="H30" s="13" t="s">
        <v>338</v>
      </c>
      <c r="I30" s="13" t="s">
        <v>96</v>
      </c>
      <c r="J30" s="13" t="s">
        <v>339</v>
      </c>
    </row>
    <row r="31" spans="1:10">
      <c r="A31" s="17"/>
      <c r="B31" s="17"/>
      <c r="C31" s="17"/>
      <c r="D31" s="17"/>
      <c r="E31" s="17"/>
      <c r="F31" s="17"/>
      <c r="G31" s="17"/>
      <c r="H31" s="17"/>
      <c r="I31" s="17"/>
      <c r="J31" s="17"/>
    </row>
  </sheetData>
  <mergeCells count="2">
    <mergeCell ref="A1:J1"/>
    <mergeCell ref="A2:J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showGridLines="0" topLeftCell="A10" workbookViewId="0">
      <selection activeCell="C16" sqref="C16"/>
    </sheetView>
  </sheetViews>
  <sheetFormatPr defaultRowHeight="13.5"/>
  <cols>
    <col min="1" max="1" width="9" customWidth="1"/>
    <col min="2" max="2" width="34" customWidth="1"/>
    <col min="3" max="3" width="19" customWidth="1"/>
    <col min="4" max="4" width="55" customWidth="1"/>
    <col min="5" max="5" width="18" customWidth="1"/>
    <col min="6" max="6" width="38" customWidth="1"/>
    <col min="7" max="7" width="14" customWidth="1"/>
    <col min="8" max="8" width="33" customWidth="1"/>
  </cols>
  <sheetData>
    <row r="1" spans="1:8" ht="28.05" customHeight="1">
      <c r="A1" s="7" t="s">
        <v>340</v>
      </c>
      <c r="B1" s="7" t="s">
        <v>340</v>
      </c>
      <c r="C1" s="7" t="s">
        <v>340</v>
      </c>
      <c r="D1" s="7" t="s">
        <v>340</v>
      </c>
      <c r="E1" s="7" t="s">
        <v>340</v>
      </c>
      <c r="F1" s="7" t="s">
        <v>340</v>
      </c>
      <c r="G1" s="7" t="s">
        <v>340</v>
      </c>
      <c r="H1" s="7" t="s">
        <v>340</v>
      </c>
    </row>
    <row r="2" spans="1:8" ht="26" customHeight="1">
      <c r="A2" s="8" t="s">
        <v>341</v>
      </c>
      <c r="B2" s="8" t="s">
        <v>341</v>
      </c>
      <c r="C2" s="8" t="s">
        <v>341</v>
      </c>
      <c r="D2" s="8" t="s">
        <v>341</v>
      </c>
      <c r="E2" s="8" t="s">
        <v>341</v>
      </c>
      <c r="F2" s="8" t="s">
        <v>341</v>
      </c>
      <c r="G2" s="8" t="s">
        <v>341</v>
      </c>
      <c r="H2" s="8" t="s">
        <v>341</v>
      </c>
    </row>
    <row r="3" spans="1:8" ht="14.25">
      <c r="A3" s="1"/>
      <c r="B3" s="1"/>
      <c r="C3" s="1"/>
      <c r="D3" s="1"/>
      <c r="E3" s="1"/>
      <c r="F3" s="1"/>
      <c r="G3" s="1"/>
      <c r="H3" s="1"/>
    </row>
    <row r="4" spans="1:8" ht="38" customHeight="1">
      <c r="A4" s="5" t="s">
        <v>45</v>
      </c>
      <c r="B4" s="5" t="s">
        <v>342</v>
      </c>
      <c r="C4" s="5" t="s">
        <v>343</v>
      </c>
      <c r="D4" s="5" t="s">
        <v>344</v>
      </c>
      <c r="E4" s="5" t="s">
        <v>345</v>
      </c>
      <c r="F4" s="5" t="s">
        <v>346</v>
      </c>
      <c r="G4" s="5" t="s">
        <v>33</v>
      </c>
      <c r="H4" s="5" t="s">
        <v>347</v>
      </c>
    </row>
    <row r="5" spans="1:8" ht="38" customHeight="1">
      <c r="A5" s="2" t="s">
        <v>96</v>
      </c>
      <c r="B5" s="2" t="s">
        <v>348</v>
      </c>
      <c r="C5" s="2" t="s">
        <v>349</v>
      </c>
      <c r="D5" s="2" t="s">
        <v>350</v>
      </c>
      <c r="E5" s="2" t="s">
        <v>351</v>
      </c>
      <c r="F5" s="2" t="s">
        <v>352</v>
      </c>
      <c r="G5" s="2" t="s">
        <v>34</v>
      </c>
      <c r="H5" s="2" t="s">
        <v>353</v>
      </c>
    </row>
    <row r="6" spans="1:8" ht="38" customHeight="1">
      <c r="A6" s="2" t="s">
        <v>354</v>
      </c>
      <c r="B6" s="2" t="s">
        <v>355</v>
      </c>
      <c r="C6" s="2" t="s">
        <v>356</v>
      </c>
      <c r="D6" s="2" t="s">
        <v>357</v>
      </c>
      <c r="E6" s="2" t="s">
        <v>358</v>
      </c>
      <c r="F6" s="2" t="s">
        <v>359</v>
      </c>
      <c r="G6" s="2" t="s">
        <v>34</v>
      </c>
      <c r="H6" s="2" t="s">
        <v>360</v>
      </c>
    </row>
    <row r="7" spans="1:8" ht="38" customHeight="1">
      <c r="A7" s="2" t="s">
        <v>361</v>
      </c>
      <c r="B7" s="2" t="s">
        <v>362</v>
      </c>
      <c r="C7" s="2" t="s">
        <v>363</v>
      </c>
      <c r="D7" s="2" t="s">
        <v>364</v>
      </c>
      <c r="E7" s="2" t="s">
        <v>365</v>
      </c>
      <c r="F7" s="2" t="s">
        <v>366</v>
      </c>
      <c r="G7" s="2" t="s">
        <v>34</v>
      </c>
      <c r="H7" s="2" t="s">
        <v>367</v>
      </c>
    </row>
    <row r="8" spans="1:8" ht="38" customHeight="1">
      <c r="A8" s="2" t="s">
        <v>368</v>
      </c>
      <c r="B8" s="2" t="s">
        <v>369</v>
      </c>
      <c r="C8" s="2" t="s">
        <v>370</v>
      </c>
      <c r="D8" s="2" t="s">
        <v>371</v>
      </c>
      <c r="E8" s="2" t="s">
        <v>358</v>
      </c>
      <c r="F8" s="2" t="s">
        <v>372</v>
      </c>
      <c r="G8" s="2" t="s">
        <v>34</v>
      </c>
      <c r="H8" s="2" t="s">
        <v>373</v>
      </c>
    </row>
    <row r="9" spans="1:8" ht="38" customHeight="1">
      <c r="A9" s="2" t="s">
        <v>374</v>
      </c>
      <c r="B9" s="2" t="s">
        <v>375</v>
      </c>
      <c r="C9" s="2" t="s">
        <v>370</v>
      </c>
      <c r="D9" s="2" t="s">
        <v>376</v>
      </c>
      <c r="E9" s="2" t="s">
        <v>377</v>
      </c>
      <c r="F9" s="2" t="s">
        <v>378</v>
      </c>
      <c r="G9" s="2" t="s">
        <v>34</v>
      </c>
      <c r="H9" s="2" t="s">
        <v>379</v>
      </c>
    </row>
    <row r="10" spans="1:8" ht="38" customHeight="1">
      <c r="A10" s="2" t="s">
        <v>380</v>
      </c>
      <c r="B10" s="2" t="s">
        <v>381</v>
      </c>
      <c r="C10" s="2" t="s">
        <v>370</v>
      </c>
      <c r="D10" s="2" t="s">
        <v>382</v>
      </c>
      <c r="E10" s="2" t="s">
        <v>377</v>
      </c>
      <c r="F10" s="2" t="s">
        <v>383</v>
      </c>
      <c r="G10" s="2" t="s">
        <v>34</v>
      </c>
      <c r="H10" s="2" t="s">
        <v>384</v>
      </c>
    </row>
    <row r="11" spans="1:8" ht="38" customHeight="1">
      <c r="A11" s="2" t="s">
        <v>145</v>
      </c>
      <c r="B11" s="2" t="s">
        <v>385</v>
      </c>
      <c r="C11" s="2" t="s">
        <v>370</v>
      </c>
      <c r="D11" s="2" t="s">
        <v>386</v>
      </c>
      <c r="E11" s="2" t="s">
        <v>387</v>
      </c>
      <c r="F11" s="2" t="s">
        <v>388</v>
      </c>
      <c r="G11" s="2" t="s">
        <v>34</v>
      </c>
      <c r="H11" s="2" t="s">
        <v>389</v>
      </c>
    </row>
    <row r="12" spans="1:8" ht="38" customHeight="1">
      <c r="A12" s="2" t="s">
        <v>390</v>
      </c>
      <c r="B12" s="2" t="s">
        <v>391</v>
      </c>
      <c r="C12" s="2" t="s">
        <v>370</v>
      </c>
      <c r="D12" s="2" t="s">
        <v>392</v>
      </c>
      <c r="E12" s="2" t="s">
        <v>393</v>
      </c>
      <c r="F12" s="2" t="s">
        <v>394</v>
      </c>
      <c r="G12" s="2" t="s">
        <v>34</v>
      </c>
      <c r="H12" s="2" t="s">
        <v>395</v>
      </c>
    </row>
    <row r="13" spans="1:8" ht="38" customHeight="1">
      <c r="A13" s="2" t="s">
        <v>189</v>
      </c>
      <c r="B13" s="2" t="s">
        <v>396</v>
      </c>
      <c r="C13" s="2" t="s">
        <v>370</v>
      </c>
      <c r="D13" s="2" t="s">
        <v>397</v>
      </c>
      <c r="E13" s="2" t="s">
        <v>387</v>
      </c>
      <c r="F13" s="2" t="s">
        <v>398</v>
      </c>
      <c r="G13" s="2" t="s">
        <v>34</v>
      </c>
      <c r="H13" s="2" t="s">
        <v>399</v>
      </c>
    </row>
    <row r="14" spans="1:8" ht="38" customHeight="1">
      <c r="A14" s="2" t="s">
        <v>400</v>
      </c>
      <c r="B14" s="2" t="s">
        <v>401</v>
      </c>
      <c r="C14" s="2" t="s">
        <v>370</v>
      </c>
      <c r="D14" s="2" t="s">
        <v>402</v>
      </c>
      <c r="E14" s="2" t="s">
        <v>403</v>
      </c>
      <c r="F14" s="2" t="s">
        <v>404</v>
      </c>
      <c r="G14" s="2" t="s">
        <v>34</v>
      </c>
      <c r="H14" s="2" t="s">
        <v>405</v>
      </c>
    </row>
    <row r="15" spans="1:8" ht="38" customHeight="1">
      <c r="A15" s="2" t="s">
        <v>406</v>
      </c>
      <c r="B15" s="2" t="s">
        <v>407</v>
      </c>
      <c r="C15" s="2" t="s">
        <v>370</v>
      </c>
      <c r="D15" s="2" t="s">
        <v>408</v>
      </c>
      <c r="E15" s="2" t="s">
        <v>409</v>
      </c>
      <c r="F15" s="2" t="s">
        <v>410</v>
      </c>
      <c r="G15" s="2" t="s">
        <v>34</v>
      </c>
      <c r="H15" s="2" t="s">
        <v>411</v>
      </c>
    </row>
    <row r="16" spans="1:8" ht="38" customHeight="1">
      <c r="A16" s="2" t="s">
        <v>412</v>
      </c>
      <c r="B16" s="2" t="s">
        <v>413</v>
      </c>
      <c r="C16" s="2" t="s">
        <v>370</v>
      </c>
      <c r="D16" s="2" t="s">
        <v>414</v>
      </c>
      <c r="E16" s="2" t="s">
        <v>387</v>
      </c>
      <c r="F16" s="2" t="s">
        <v>415</v>
      </c>
      <c r="G16" s="2" t="s">
        <v>34</v>
      </c>
      <c r="H16" s="2" t="s">
        <v>416</v>
      </c>
    </row>
  </sheetData>
  <mergeCells count="2">
    <mergeCell ref="A1:H1"/>
    <mergeCell ref="A2:H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showGridLines="0" workbookViewId="0"/>
  </sheetViews>
  <sheetFormatPr defaultRowHeight="13.5"/>
  <cols>
    <col min="1" max="1" width="8" customWidth="1"/>
    <col min="2" max="2" width="28" customWidth="1"/>
    <col min="3" max="3" width="12" customWidth="1"/>
    <col min="4" max="4" width="16" customWidth="1"/>
    <col min="5" max="5" width="15" customWidth="1"/>
    <col min="6" max="6" width="16" customWidth="1"/>
    <col min="7" max="7" width="12" customWidth="1"/>
    <col min="8" max="8" width="44" customWidth="1"/>
    <col min="9" max="9" width="12" customWidth="1"/>
    <col min="11" max="11" width="16" customWidth="1"/>
    <col min="12" max="12" width="18" customWidth="1"/>
  </cols>
  <sheetData>
    <row r="1" spans="1:12" ht="28.05" customHeight="1">
      <c r="A1" s="7" t="s">
        <v>417</v>
      </c>
      <c r="B1" s="7" t="s">
        <v>417</v>
      </c>
      <c r="C1" s="7" t="s">
        <v>417</v>
      </c>
      <c r="D1" s="7" t="s">
        <v>417</v>
      </c>
      <c r="E1" s="7" t="s">
        <v>417</v>
      </c>
      <c r="F1" s="7" t="s">
        <v>417</v>
      </c>
      <c r="G1" s="7" t="s">
        <v>417</v>
      </c>
      <c r="H1" s="7" t="s">
        <v>417</v>
      </c>
      <c r="I1" s="7" t="s">
        <v>417</v>
      </c>
      <c r="J1" s="1"/>
      <c r="K1" s="1"/>
      <c r="L1" s="1"/>
    </row>
    <row r="2" spans="1:12" ht="26" customHeight="1">
      <c r="A2" s="8" t="s">
        <v>418</v>
      </c>
      <c r="B2" s="8" t="s">
        <v>418</v>
      </c>
      <c r="C2" s="8" t="s">
        <v>418</v>
      </c>
      <c r="D2" s="8" t="s">
        <v>418</v>
      </c>
      <c r="E2" s="8" t="s">
        <v>418</v>
      </c>
      <c r="F2" s="8" t="s">
        <v>418</v>
      </c>
      <c r="G2" s="8" t="s">
        <v>418</v>
      </c>
      <c r="H2" s="8" t="s">
        <v>418</v>
      </c>
      <c r="I2" s="8" t="s">
        <v>418</v>
      </c>
      <c r="J2" s="1"/>
      <c r="K2" s="1"/>
      <c r="L2" s="1"/>
    </row>
    <row r="3" spans="1:12" ht="14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2.05" customHeight="1">
      <c r="A4" s="5" t="s">
        <v>37</v>
      </c>
      <c r="B4" s="5" t="s">
        <v>39</v>
      </c>
      <c r="C4" s="5" t="s">
        <v>41</v>
      </c>
      <c r="D4" s="5" t="s">
        <v>44</v>
      </c>
      <c r="E4" s="5" t="s">
        <v>45</v>
      </c>
      <c r="F4" s="5" t="s">
        <v>43</v>
      </c>
      <c r="G4" s="5" t="s">
        <v>419</v>
      </c>
      <c r="H4" s="5" t="s">
        <v>420</v>
      </c>
      <c r="I4" s="5" t="s">
        <v>47</v>
      </c>
      <c r="J4" s="1"/>
      <c r="K4" s="5" t="s">
        <v>421</v>
      </c>
      <c r="L4" s="5" t="s">
        <v>422</v>
      </c>
    </row>
    <row r="5" spans="1:12" ht="22.05" customHeight="1">
      <c r="A5" s="2" t="s">
        <v>48</v>
      </c>
      <c r="B5" s="2" t="s">
        <v>50</v>
      </c>
      <c r="C5" s="2" t="s">
        <v>52</v>
      </c>
      <c r="D5" s="2" t="s">
        <v>55</v>
      </c>
      <c r="E5" s="2" t="s">
        <v>56</v>
      </c>
      <c r="F5" s="2" t="s">
        <v>54</v>
      </c>
      <c r="G5" s="3">
        <f t="shared" ref="G5:G32" si="0">IF(D5="已覆盖",1,0)</f>
        <v>1</v>
      </c>
      <c r="H5" s="2" t="s">
        <v>423</v>
      </c>
      <c r="I5" s="2" t="s">
        <v>58</v>
      </c>
      <c r="J5" s="1"/>
      <c r="K5" s="2" t="s">
        <v>424</v>
      </c>
      <c r="L5" s="2">
        <f>COUNTA(A5:A32)</f>
        <v>28</v>
      </c>
    </row>
    <row r="6" spans="1:12" ht="22.05" customHeight="1">
      <c r="A6" s="2" t="s">
        <v>59</v>
      </c>
      <c r="B6" s="2" t="s">
        <v>60</v>
      </c>
      <c r="C6" s="2" t="s">
        <v>52</v>
      </c>
      <c r="D6" s="2" t="s">
        <v>55</v>
      </c>
      <c r="E6" s="2" t="s">
        <v>56</v>
      </c>
      <c r="F6" s="2" t="s">
        <v>63</v>
      </c>
      <c r="G6" s="3">
        <f t="shared" si="0"/>
        <v>1</v>
      </c>
      <c r="H6" s="2" t="s">
        <v>423</v>
      </c>
      <c r="I6" s="2" t="s">
        <v>58</v>
      </c>
      <c r="J6" s="1"/>
      <c r="K6" s="2" t="s">
        <v>425</v>
      </c>
      <c r="L6" s="2">
        <f>SUM(G5:G32)</f>
        <v>23</v>
      </c>
    </row>
    <row r="7" spans="1:12" ht="22.05" customHeight="1">
      <c r="A7" s="2" t="s">
        <v>65</v>
      </c>
      <c r="B7" s="2" t="s">
        <v>66</v>
      </c>
      <c r="C7" s="2" t="s">
        <v>52</v>
      </c>
      <c r="D7" s="2" t="s">
        <v>55</v>
      </c>
      <c r="E7" s="2" t="s">
        <v>70</v>
      </c>
      <c r="F7" s="2" t="s">
        <v>69</v>
      </c>
      <c r="G7" s="3">
        <f t="shared" si="0"/>
        <v>1</v>
      </c>
      <c r="H7" s="2" t="s">
        <v>423</v>
      </c>
      <c r="I7" s="2" t="s">
        <v>72</v>
      </c>
      <c r="J7" s="1"/>
      <c r="K7" s="2" t="s">
        <v>426</v>
      </c>
      <c r="L7" s="4">
        <f>L6/L5</f>
        <v>0.8214285714285714</v>
      </c>
    </row>
    <row r="8" spans="1:12" ht="22.05" customHeight="1">
      <c r="A8" s="2" t="s">
        <v>73</v>
      </c>
      <c r="B8" s="2" t="s">
        <v>74</v>
      </c>
      <c r="C8" s="2" t="s">
        <v>52</v>
      </c>
      <c r="D8" s="2" t="s">
        <v>55</v>
      </c>
      <c r="E8" s="2" t="s">
        <v>56</v>
      </c>
      <c r="F8" s="2" t="s">
        <v>54</v>
      </c>
      <c r="G8" s="3">
        <f t="shared" si="0"/>
        <v>1</v>
      </c>
      <c r="H8" s="2" t="s">
        <v>423</v>
      </c>
      <c r="I8" s="2" t="s">
        <v>72</v>
      </c>
      <c r="J8" s="1"/>
      <c r="K8" s="2" t="s">
        <v>427</v>
      </c>
      <c r="L8" s="6" t="str">
        <f>IF(L7&gt;=82.1%,"通过（≥82.1%）","未通过")</f>
        <v>通过（≥82.1%）</v>
      </c>
    </row>
    <row r="9" spans="1:12" ht="14.25">
      <c r="A9" s="2" t="s">
        <v>77</v>
      </c>
      <c r="B9" s="2" t="s">
        <v>78</v>
      </c>
      <c r="C9" s="2" t="s">
        <v>52</v>
      </c>
      <c r="D9" s="2" t="s">
        <v>55</v>
      </c>
      <c r="E9" s="2" t="s">
        <v>81</v>
      </c>
      <c r="F9" s="2" t="s">
        <v>80</v>
      </c>
      <c r="G9" s="3">
        <f t="shared" si="0"/>
        <v>1</v>
      </c>
      <c r="H9" s="2" t="s">
        <v>423</v>
      </c>
      <c r="I9" s="2" t="s">
        <v>72</v>
      </c>
      <c r="J9" s="1"/>
      <c r="K9" s="1"/>
      <c r="L9" s="1"/>
    </row>
    <row r="10" spans="1:12" ht="14.25">
      <c r="A10" s="2" t="s">
        <v>83</v>
      </c>
      <c r="B10" s="2" t="s">
        <v>85</v>
      </c>
      <c r="C10" s="2" t="s">
        <v>52</v>
      </c>
      <c r="D10" s="2" t="s">
        <v>55</v>
      </c>
      <c r="E10" s="2" t="s">
        <v>56</v>
      </c>
      <c r="F10" s="2" t="s">
        <v>54</v>
      </c>
      <c r="G10" s="3">
        <f t="shared" si="0"/>
        <v>1</v>
      </c>
      <c r="H10" s="2" t="s">
        <v>423</v>
      </c>
      <c r="I10" s="2" t="s">
        <v>58</v>
      </c>
      <c r="J10" s="1"/>
      <c r="K10" s="1"/>
      <c r="L10" s="1"/>
    </row>
    <row r="11" spans="1:12" ht="14.25">
      <c r="A11" s="2" t="s">
        <v>88</v>
      </c>
      <c r="B11" s="2" t="s">
        <v>89</v>
      </c>
      <c r="C11" s="2" t="s">
        <v>52</v>
      </c>
      <c r="D11" s="2" t="s">
        <v>55</v>
      </c>
      <c r="E11" s="2" t="s">
        <v>56</v>
      </c>
      <c r="F11" s="2" t="s">
        <v>54</v>
      </c>
      <c r="G11" s="3">
        <f t="shared" si="0"/>
        <v>1</v>
      </c>
      <c r="H11" s="2" t="s">
        <v>423</v>
      </c>
      <c r="I11" s="2" t="s">
        <v>58</v>
      </c>
      <c r="J11" s="1"/>
      <c r="K11" s="1"/>
      <c r="L11" s="1"/>
    </row>
    <row r="12" spans="1:12" ht="14.25">
      <c r="A12" s="2" t="s">
        <v>92</v>
      </c>
      <c r="B12" s="2" t="s">
        <v>93</v>
      </c>
      <c r="C12" s="2" t="s">
        <v>52</v>
      </c>
      <c r="D12" s="2" t="s">
        <v>55</v>
      </c>
      <c r="E12" s="2" t="s">
        <v>96</v>
      </c>
      <c r="F12" s="2" t="s">
        <v>54</v>
      </c>
      <c r="G12" s="3">
        <f t="shared" si="0"/>
        <v>1</v>
      </c>
      <c r="H12" s="2" t="s">
        <v>423</v>
      </c>
      <c r="I12" s="2" t="s">
        <v>72</v>
      </c>
      <c r="J12" s="1"/>
      <c r="K12" s="1"/>
      <c r="L12" s="1"/>
    </row>
    <row r="13" spans="1:12" ht="14.25">
      <c r="A13" s="2" t="s">
        <v>98</v>
      </c>
      <c r="B13" s="2" t="s">
        <v>99</v>
      </c>
      <c r="C13" s="2" t="s">
        <v>52</v>
      </c>
      <c r="D13" s="2" t="s">
        <v>55</v>
      </c>
      <c r="E13" s="2" t="s">
        <v>96</v>
      </c>
      <c r="F13" s="2" t="s">
        <v>54</v>
      </c>
      <c r="G13" s="3">
        <f t="shared" si="0"/>
        <v>1</v>
      </c>
      <c r="H13" s="2" t="s">
        <v>423</v>
      </c>
      <c r="I13" s="2" t="s">
        <v>72</v>
      </c>
      <c r="J13" s="1"/>
      <c r="K13" s="1"/>
      <c r="L13" s="1"/>
    </row>
    <row r="14" spans="1:12" ht="14.25">
      <c r="A14" s="2" t="s">
        <v>102</v>
      </c>
      <c r="B14" s="2" t="s">
        <v>103</v>
      </c>
      <c r="C14" s="2" t="s">
        <v>52</v>
      </c>
      <c r="D14" s="2" t="s">
        <v>55</v>
      </c>
      <c r="E14" s="2" t="s">
        <v>96</v>
      </c>
      <c r="F14" s="2" t="s">
        <v>54</v>
      </c>
      <c r="G14" s="3">
        <f t="shared" si="0"/>
        <v>1</v>
      </c>
      <c r="H14" s="2" t="s">
        <v>423</v>
      </c>
      <c r="I14" s="2" t="s">
        <v>58</v>
      </c>
      <c r="J14" s="1"/>
      <c r="K14" s="1"/>
      <c r="L14" s="1"/>
    </row>
    <row r="15" spans="1:12" ht="14.25">
      <c r="A15" s="2" t="s">
        <v>107</v>
      </c>
      <c r="B15" s="2" t="s">
        <v>108</v>
      </c>
      <c r="C15" s="2" t="s">
        <v>52</v>
      </c>
      <c r="D15" s="2" t="s">
        <v>55</v>
      </c>
      <c r="E15" s="2" t="s">
        <v>111</v>
      </c>
      <c r="F15" s="2" t="s">
        <v>69</v>
      </c>
      <c r="G15" s="3">
        <f t="shared" si="0"/>
        <v>1</v>
      </c>
      <c r="H15" s="2" t="s">
        <v>423</v>
      </c>
      <c r="I15" s="2" t="s">
        <v>58</v>
      </c>
      <c r="J15" s="1"/>
      <c r="K15" s="1"/>
      <c r="L15" s="1"/>
    </row>
    <row r="16" spans="1:12" ht="14.25">
      <c r="A16" s="2" t="s">
        <v>113</v>
      </c>
      <c r="B16" s="2" t="s">
        <v>115</v>
      </c>
      <c r="C16" s="2" t="s">
        <v>52</v>
      </c>
      <c r="D16" s="2" t="s">
        <v>117</v>
      </c>
      <c r="E16" s="2" t="s">
        <v>118</v>
      </c>
      <c r="F16" s="2" t="s">
        <v>80</v>
      </c>
      <c r="G16" s="3">
        <f t="shared" si="0"/>
        <v>0</v>
      </c>
      <c r="H16" s="2" t="s">
        <v>428</v>
      </c>
      <c r="I16" s="2" t="s">
        <v>72</v>
      </c>
      <c r="J16" s="1"/>
      <c r="K16" s="1"/>
      <c r="L16" s="1"/>
    </row>
    <row r="17" spans="1:12" ht="14.25">
      <c r="A17" s="2" t="s">
        <v>120</v>
      </c>
      <c r="B17" s="2" t="s">
        <v>121</v>
      </c>
      <c r="C17" s="2" t="s">
        <v>52</v>
      </c>
      <c r="D17" s="2" t="s">
        <v>117</v>
      </c>
      <c r="E17" s="2" t="s">
        <v>123</v>
      </c>
      <c r="F17" s="2" t="s">
        <v>80</v>
      </c>
      <c r="G17" s="3">
        <f t="shared" si="0"/>
        <v>0</v>
      </c>
      <c r="H17" s="2" t="s">
        <v>428</v>
      </c>
      <c r="I17" s="2" t="s">
        <v>72</v>
      </c>
      <c r="J17" s="1"/>
      <c r="K17" s="1"/>
      <c r="L17" s="1"/>
    </row>
    <row r="18" spans="1:12" ht="14.25">
      <c r="A18" s="2" t="s">
        <v>125</v>
      </c>
      <c r="B18" s="2" t="s">
        <v>126</v>
      </c>
      <c r="C18" s="2" t="s">
        <v>52</v>
      </c>
      <c r="D18" s="2" t="s">
        <v>55</v>
      </c>
      <c r="E18" s="2" t="s">
        <v>129</v>
      </c>
      <c r="F18" s="2" t="s">
        <v>128</v>
      </c>
      <c r="G18" s="3">
        <f t="shared" si="0"/>
        <v>1</v>
      </c>
      <c r="H18" s="2" t="s">
        <v>423</v>
      </c>
      <c r="I18" s="2" t="s">
        <v>58</v>
      </c>
      <c r="J18" s="1"/>
      <c r="K18" s="1"/>
      <c r="L18" s="1"/>
    </row>
    <row r="19" spans="1:12" ht="14.25">
      <c r="A19" s="2" t="s">
        <v>131</v>
      </c>
      <c r="B19" s="2" t="s">
        <v>132</v>
      </c>
      <c r="C19" s="2" t="s">
        <v>52</v>
      </c>
      <c r="D19" s="2" t="s">
        <v>55</v>
      </c>
      <c r="E19" s="2" t="s">
        <v>134</v>
      </c>
      <c r="F19" s="2" t="s">
        <v>69</v>
      </c>
      <c r="G19" s="3">
        <f t="shared" si="0"/>
        <v>1</v>
      </c>
      <c r="H19" s="2" t="s">
        <v>423</v>
      </c>
      <c r="I19" s="2" t="s">
        <v>58</v>
      </c>
      <c r="J19" s="1"/>
      <c r="K19" s="1"/>
      <c r="L19" s="1"/>
    </row>
    <row r="20" spans="1:12" ht="14.25">
      <c r="A20" s="2" t="s">
        <v>136</v>
      </c>
      <c r="B20" s="2" t="s">
        <v>137</v>
      </c>
      <c r="C20" s="2" t="s">
        <v>52</v>
      </c>
      <c r="D20" s="2" t="s">
        <v>55</v>
      </c>
      <c r="E20" s="2" t="s">
        <v>111</v>
      </c>
      <c r="F20" s="2" t="s">
        <v>69</v>
      </c>
      <c r="G20" s="3">
        <f t="shared" si="0"/>
        <v>1</v>
      </c>
      <c r="H20" s="2" t="s">
        <v>423</v>
      </c>
      <c r="I20" s="2" t="s">
        <v>58</v>
      </c>
      <c r="J20" s="1"/>
      <c r="K20" s="1"/>
      <c r="L20" s="1"/>
    </row>
    <row r="21" spans="1:12" ht="14.25">
      <c r="A21" s="2" t="s">
        <v>140</v>
      </c>
      <c r="B21" s="2" t="s">
        <v>142</v>
      </c>
      <c r="C21" s="2" t="s">
        <v>52</v>
      </c>
      <c r="D21" s="2" t="s">
        <v>117</v>
      </c>
      <c r="E21" s="2" t="s">
        <v>145</v>
      </c>
      <c r="F21" s="2" t="s">
        <v>80</v>
      </c>
      <c r="G21" s="3">
        <f t="shared" si="0"/>
        <v>0</v>
      </c>
      <c r="H21" s="2" t="s">
        <v>428</v>
      </c>
      <c r="I21" s="2" t="s">
        <v>58</v>
      </c>
      <c r="J21" s="1"/>
      <c r="K21" s="1"/>
      <c r="L21" s="1"/>
    </row>
    <row r="22" spans="1:12" ht="14.25">
      <c r="A22" s="2" t="s">
        <v>147</v>
      </c>
      <c r="B22" s="2" t="s">
        <v>148</v>
      </c>
      <c r="C22" s="2" t="s">
        <v>52</v>
      </c>
      <c r="D22" s="2" t="s">
        <v>55</v>
      </c>
      <c r="E22" s="2" t="s">
        <v>56</v>
      </c>
      <c r="F22" s="2" t="s">
        <v>54</v>
      </c>
      <c r="G22" s="3">
        <f t="shared" si="0"/>
        <v>1</v>
      </c>
      <c r="H22" s="2" t="s">
        <v>423</v>
      </c>
      <c r="I22" s="2" t="s">
        <v>58</v>
      </c>
      <c r="J22" s="1"/>
      <c r="K22" s="1"/>
      <c r="L22" s="1"/>
    </row>
    <row r="23" spans="1:12" ht="14.25">
      <c r="A23" s="2" t="s">
        <v>152</v>
      </c>
      <c r="B23" s="2" t="s">
        <v>154</v>
      </c>
      <c r="C23" s="2" t="s">
        <v>155</v>
      </c>
      <c r="D23" s="2" t="s">
        <v>55</v>
      </c>
      <c r="E23" s="2" t="s">
        <v>158</v>
      </c>
      <c r="F23" s="2" t="s">
        <v>157</v>
      </c>
      <c r="G23" s="3">
        <f t="shared" si="0"/>
        <v>1</v>
      </c>
      <c r="H23" s="2" t="s">
        <v>423</v>
      </c>
      <c r="I23" s="2" t="s">
        <v>72</v>
      </c>
      <c r="J23" s="1"/>
      <c r="K23" s="1"/>
      <c r="L23" s="1"/>
    </row>
    <row r="24" spans="1:12" ht="14.25">
      <c r="A24" s="2" t="s">
        <v>160</v>
      </c>
      <c r="B24" s="2" t="s">
        <v>161</v>
      </c>
      <c r="C24" s="2" t="s">
        <v>155</v>
      </c>
      <c r="D24" s="2" t="s">
        <v>55</v>
      </c>
      <c r="E24" s="2" t="s">
        <v>81</v>
      </c>
      <c r="F24" s="2" t="s">
        <v>54</v>
      </c>
      <c r="G24" s="3">
        <f t="shared" si="0"/>
        <v>1</v>
      </c>
      <c r="H24" s="2" t="s">
        <v>423</v>
      </c>
      <c r="I24" s="2" t="s">
        <v>164</v>
      </c>
      <c r="J24" s="1"/>
      <c r="K24" s="1"/>
      <c r="L24" s="1"/>
    </row>
    <row r="25" spans="1:12" ht="14.25">
      <c r="A25" s="2" t="s">
        <v>165</v>
      </c>
      <c r="B25" s="2" t="s">
        <v>166</v>
      </c>
      <c r="C25" s="2" t="s">
        <v>155</v>
      </c>
      <c r="D25" s="2" t="s">
        <v>55</v>
      </c>
      <c r="E25" s="2" t="s">
        <v>169</v>
      </c>
      <c r="F25" s="2" t="s">
        <v>168</v>
      </c>
      <c r="G25" s="3">
        <f t="shared" si="0"/>
        <v>1</v>
      </c>
      <c r="H25" s="2" t="s">
        <v>423</v>
      </c>
      <c r="I25" s="2" t="s">
        <v>72</v>
      </c>
      <c r="J25" s="1"/>
      <c r="K25" s="1"/>
      <c r="L25" s="1"/>
    </row>
    <row r="26" spans="1:12" ht="14.25">
      <c r="A26" s="2" t="s">
        <v>171</v>
      </c>
      <c r="B26" s="2" t="s">
        <v>172</v>
      </c>
      <c r="C26" s="2" t="s">
        <v>155</v>
      </c>
      <c r="D26" s="2" t="s">
        <v>55</v>
      </c>
      <c r="E26" s="2" t="s">
        <v>96</v>
      </c>
      <c r="F26" s="2" t="s">
        <v>54</v>
      </c>
      <c r="G26" s="3">
        <f t="shared" si="0"/>
        <v>1</v>
      </c>
      <c r="H26" s="2" t="s">
        <v>423</v>
      </c>
      <c r="I26" s="2" t="s">
        <v>164</v>
      </c>
      <c r="J26" s="1"/>
      <c r="K26" s="1"/>
      <c r="L26" s="1"/>
    </row>
    <row r="27" spans="1:12" ht="14.25">
      <c r="A27" s="2" t="s">
        <v>175</v>
      </c>
      <c r="B27" s="2" t="s">
        <v>176</v>
      </c>
      <c r="C27" s="2" t="s">
        <v>155</v>
      </c>
      <c r="D27" s="2" t="s">
        <v>55</v>
      </c>
      <c r="E27" s="2" t="s">
        <v>96</v>
      </c>
      <c r="F27" s="2" t="s">
        <v>54</v>
      </c>
      <c r="G27" s="3">
        <f t="shared" si="0"/>
        <v>1</v>
      </c>
      <c r="H27" s="2" t="s">
        <v>423</v>
      </c>
      <c r="I27" s="2" t="s">
        <v>72</v>
      </c>
      <c r="J27" s="1"/>
      <c r="K27" s="1"/>
      <c r="L27" s="1"/>
    </row>
    <row r="28" spans="1:12" ht="14.25">
      <c r="A28" s="2" t="s">
        <v>179</v>
      </c>
      <c r="B28" s="2" t="s">
        <v>181</v>
      </c>
      <c r="C28" s="2" t="s">
        <v>182</v>
      </c>
      <c r="D28" s="2" t="s">
        <v>117</v>
      </c>
      <c r="E28" s="2" t="s">
        <v>184</v>
      </c>
      <c r="F28" s="2" t="s">
        <v>80</v>
      </c>
      <c r="G28" s="3">
        <f t="shared" si="0"/>
        <v>0</v>
      </c>
      <c r="H28" s="2" t="s">
        <v>428</v>
      </c>
      <c r="I28" s="2" t="s">
        <v>58</v>
      </c>
      <c r="J28" s="1"/>
      <c r="K28" s="1"/>
      <c r="L28" s="1"/>
    </row>
    <row r="29" spans="1:12" ht="14.25">
      <c r="A29" s="2" t="s">
        <v>186</v>
      </c>
      <c r="B29" s="2" t="s">
        <v>187</v>
      </c>
      <c r="C29" s="2" t="s">
        <v>182</v>
      </c>
      <c r="D29" s="2" t="s">
        <v>117</v>
      </c>
      <c r="E29" s="2" t="s">
        <v>189</v>
      </c>
      <c r="F29" s="2" t="s">
        <v>80</v>
      </c>
      <c r="G29" s="3">
        <f t="shared" si="0"/>
        <v>0</v>
      </c>
      <c r="H29" s="2" t="s">
        <v>428</v>
      </c>
      <c r="I29" s="2" t="s">
        <v>72</v>
      </c>
      <c r="J29" s="1"/>
      <c r="K29" s="1"/>
      <c r="L29" s="1"/>
    </row>
    <row r="30" spans="1:12" ht="14.25">
      <c r="A30" s="2" t="s">
        <v>191</v>
      </c>
      <c r="B30" s="2" t="s">
        <v>192</v>
      </c>
      <c r="C30" s="2" t="s">
        <v>193</v>
      </c>
      <c r="D30" s="2" t="s">
        <v>55</v>
      </c>
      <c r="E30" s="2" t="s">
        <v>96</v>
      </c>
      <c r="F30" s="2" t="s">
        <v>80</v>
      </c>
      <c r="G30" s="3">
        <f t="shared" si="0"/>
        <v>1</v>
      </c>
      <c r="H30" s="2" t="s">
        <v>423</v>
      </c>
      <c r="I30" s="2" t="s">
        <v>196</v>
      </c>
      <c r="J30" s="1"/>
      <c r="K30" s="1"/>
      <c r="L30" s="1"/>
    </row>
    <row r="31" spans="1:12" ht="14.25">
      <c r="A31" s="2" t="s">
        <v>197</v>
      </c>
      <c r="B31" s="2" t="s">
        <v>198</v>
      </c>
      <c r="C31" s="2" t="s">
        <v>193</v>
      </c>
      <c r="D31" s="2" t="s">
        <v>55</v>
      </c>
      <c r="E31" s="2" t="s">
        <v>81</v>
      </c>
      <c r="F31" s="2" t="s">
        <v>80</v>
      </c>
      <c r="G31" s="3">
        <f t="shared" si="0"/>
        <v>1</v>
      </c>
      <c r="H31" s="2" t="s">
        <v>423</v>
      </c>
      <c r="I31" s="2" t="s">
        <v>196</v>
      </c>
      <c r="J31" s="1"/>
      <c r="K31" s="1"/>
      <c r="L31" s="1"/>
    </row>
    <row r="32" spans="1:12" ht="14.25">
      <c r="A32" s="2" t="s">
        <v>201</v>
      </c>
      <c r="B32" s="2" t="s">
        <v>202</v>
      </c>
      <c r="C32" s="2" t="s">
        <v>193</v>
      </c>
      <c r="D32" s="2" t="s">
        <v>55</v>
      </c>
      <c r="E32" s="2" t="s">
        <v>111</v>
      </c>
      <c r="F32" s="2" t="s">
        <v>80</v>
      </c>
      <c r="G32" s="3">
        <f t="shared" si="0"/>
        <v>1</v>
      </c>
      <c r="H32" s="2" t="s">
        <v>423</v>
      </c>
      <c r="I32" s="2" t="s">
        <v>196</v>
      </c>
      <c r="J32" s="1"/>
      <c r="K32" s="1"/>
      <c r="L32" s="1"/>
    </row>
  </sheetData>
  <mergeCells count="2">
    <mergeCell ref="A1:I1"/>
    <mergeCell ref="A2:I2"/>
  </mergeCells>
  <phoneticPr fontId="4" type="noConversion"/>
  <conditionalFormatting sqref="D5:D32">
    <cfRule type="containsText" dxfId="0" priority="1" operator="containsText" text="待官方核验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showGridLines="0" workbookViewId="0"/>
  </sheetViews>
  <sheetFormatPr defaultRowHeight="13.5"/>
  <cols>
    <col min="1" max="1" width="18" customWidth="1"/>
    <col min="2" max="2" width="32" customWidth="1"/>
    <col min="3" max="3" width="20" customWidth="1"/>
    <col min="4" max="4" width="18" customWidth="1"/>
    <col min="5" max="5" width="14" customWidth="1"/>
    <col min="6" max="6" width="30" customWidth="1"/>
    <col min="7" max="7" width="28" customWidth="1"/>
    <col min="8" max="8" width="22" customWidth="1"/>
  </cols>
  <sheetData>
    <row r="1" spans="1:8" ht="28.05" customHeight="1">
      <c r="A1" s="7" t="s">
        <v>429</v>
      </c>
      <c r="B1" s="7" t="s">
        <v>429</v>
      </c>
      <c r="C1" s="7" t="s">
        <v>429</v>
      </c>
      <c r="D1" s="7" t="s">
        <v>429</v>
      </c>
      <c r="E1" s="7" t="s">
        <v>429</v>
      </c>
      <c r="F1" s="7" t="s">
        <v>429</v>
      </c>
      <c r="G1" s="7" t="s">
        <v>429</v>
      </c>
      <c r="H1" s="7" t="s">
        <v>429</v>
      </c>
    </row>
    <row r="2" spans="1:8" ht="26" customHeight="1">
      <c r="A2" s="8" t="s">
        <v>430</v>
      </c>
      <c r="B2" s="8" t="s">
        <v>430</v>
      </c>
      <c r="C2" s="8" t="s">
        <v>430</v>
      </c>
      <c r="D2" s="8" t="s">
        <v>430</v>
      </c>
      <c r="E2" s="8" t="s">
        <v>430</v>
      </c>
      <c r="F2" s="8" t="s">
        <v>430</v>
      </c>
      <c r="G2" s="8" t="s">
        <v>430</v>
      </c>
      <c r="H2" s="8" t="s">
        <v>430</v>
      </c>
    </row>
    <row r="3" spans="1:8" ht="14.25">
      <c r="A3" s="1"/>
      <c r="B3" s="1"/>
      <c r="C3" s="1"/>
      <c r="D3" s="1"/>
      <c r="E3" s="1"/>
      <c r="F3" s="1"/>
      <c r="G3" s="1"/>
      <c r="H3" s="1"/>
    </row>
    <row r="4" spans="1:8" ht="14.65">
      <c r="A4" s="5" t="s">
        <v>431</v>
      </c>
      <c r="B4" s="5" t="s">
        <v>432</v>
      </c>
      <c r="C4" s="5" t="s">
        <v>433</v>
      </c>
      <c r="D4" s="5" t="s">
        <v>434</v>
      </c>
      <c r="E4" s="5" t="s">
        <v>435</v>
      </c>
      <c r="F4" s="5" t="s">
        <v>436</v>
      </c>
      <c r="G4" s="5" t="s">
        <v>437</v>
      </c>
      <c r="H4" s="5" t="s">
        <v>347</v>
      </c>
    </row>
    <row r="5" spans="1:8" ht="40.049999999999997" customHeight="1">
      <c r="A5" s="2" t="s">
        <v>438</v>
      </c>
      <c r="B5" s="2" t="s">
        <v>439</v>
      </c>
      <c r="C5" s="2" t="s">
        <v>440</v>
      </c>
      <c r="D5" s="2" t="s">
        <v>441</v>
      </c>
      <c r="E5" s="2" t="s">
        <v>442</v>
      </c>
      <c r="F5" s="2" t="s">
        <v>443</v>
      </c>
      <c r="G5" s="2" t="s">
        <v>444</v>
      </c>
      <c r="H5" s="2" t="s">
        <v>445</v>
      </c>
    </row>
    <row r="6" spans="1:8" ht="40.049999999999997" customHeight="1">
      <c r="A6" s="2" t="s">
        <v>446</v>
      </c>
      <c r="B6" s="2" t="s">
        <v>447</v>
      </c>
      <c r="C6" s="2" t="s">
        <v>448</v>
      </c>
      <c r="D6" s="2" t="s">
        <v>449</v>
      </c>
      <c r="E6" s="2" t="s">
        <v>450</v>
      </c>
      <c r="F6" s="2" t="s">
        <v>451</v>
      </c>
      <c r="G6" s="2" t="s">
        <v>452</v>
      </c>
      <c r="H6" s="2" t="s">
        <v>453</v>
      </c>
    </row>
    <row r="7" spans="1:8" ht="40.049999999999997" customHeight="1">
      <c r="A7" s="2" t="s">
        <v>454</v>
      </c>
      <c r="B7" s="2" t="s">
        <v>455</v>
      </c>
      <c r="C7" s="2" t="s">
        <v>456</v>
      </c>
      <c r="D7" s="2" t="s">
        <v>457</v>
      </c>
      <c r="E7" s="2" t="s">
        <v>458</v>
      </c>
      <c r="F7" s="2" t="s">
        <v>459</v>
      </c>
      <c r="G7" s="2" t="s">
        <v>460</v>
      </c>
      <c r="H7" s="2" t="s">
        <v>461</v>
      </c>
    </row>
    <row r="8" spans="1:8" ht="40.049999999999997" customHeight="1">
      <c r="A8" s="2" t="s">
        <v>462</v>
      </c>
      <c r="B8" s="2" t="s">
        <v>463</v>
      </c>
      <c r="C8" s="2" t="s">
        <v>464</v>
      </c>
      <c r="D8" s="2" t="s">
        <v>441</v>
      </c>
      <c r="E8" s="2" t="s">
        <v>458</v>
      </c>
      <c r="F8" s="2" t="s">
        <v>465</v>
      </c>
      <c r="G8" s="2" t="s">
        <v>466</v>
      </c>
      <c r="H8" s="2" t="s">
        <v>467</v>
      </c>
    </row>
    <row r="9" spans="1:8" ht="40.049999999999997" customHeight="1">
      <c r="A9" s="2" t="s">
        <v>468</v>
      </c>
      <c r="B9" s="2" t="s">
        <v>469</v>
      </c>
      <c r="C9" s="2" t="s">
        <v>464</v>
      </c>
      <c r="D9" s="2" t="s">
        <v>441</v>
      </c>
      <c r="E9" s="2" t="s">
        <v>458</v>
      </c>
      <c r="F9" s="2" t="s">
        <v>465</v>
      </c>
      <c r="G9" s="2" t="s">
        <v>470</v>
      </c>
      <c r="H9" s="2" t="s">
        <v>471</v>
      </c>
    </row>
    <row r="10" spans="1:8" ht="40.049999999999997" customHeight="1">
      <c r="A10" s="2" t="s">
        <v>472</v>
      </c>
      <c r="B10" s="2" t="s">
        <v>473</v>
      </c>
      <c r="C10" s="2" t="s">
        <v>474</v>
      </c>
      <c r="D10" s="2" t="s">
        <v>475</v>
      </c>
      <c r="E10" s="2" t="s">
        <v>458</v>
      </c>
      <c r="F10" s="2" t="s">
        <v>476</v>
      </c>
      <c r="G10" s="2" t="s">
        <v>477</v>
      </c>
      <c r="H10" s="2" t="s">
        <v>478</v>
      </c>
    </row>
    <row r="11" spans="1:8" ht="40.049999999999997" customHeight="1">
      <c r="A11" s="2" t="s">
        <v>479</v>
      </c>
      <c r="B11" s="2" t="s">
        <v>480</v>
      </c>
      <c r="C11" s="2" t="s">
        <v>481</v>
      </c>
      <c r="D11" s="2" t="s">
        <v>441</v>
      </c>
      <c r="E11" s="2" t="s">
        <v>482</v>
      </c>
      <c r="F11" s="2" t="s">
        <v>483</v>
      </c>
      <c r="G11" s="2" t="s">
        <v>484</v>
      </c>
      <c r="H11" s="2" t="s">
        <v>485</v>
      </c>
    </row>
    <row r="12" spans="1:8" ht="40.049999999999997" customHeight="1">
      <c r="A12" s="2" t="s">
        <v>486</v>
      </c>
      <c r="B12" s="2" t="s">
        <v>487</v>
      </c>
      <c r="C12" s="2" t="s">
        <v>488</v>
      </c>
      <c r="D12" s="2" t="s">
        <v>489</v>
      </c>
      <c r="E12" s="2" t="s">
        <v>490</v>
      </c>
      <c r="F12" s="2" t="s">
        <v>491</v>
      </c>
      <c r="G12" s="2" t="s">
        <v>492</v>
      </c>
      <c r="H12" s="2" t="s">
        <v>493</v>
      </c>
    </row>
  </sheetData>
  <mergeCells count="2">
    <mergeCell ref="A1:H1"/>
    <mergeCell ref="A2:H2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showGridLines="0" workbookViewId="0"/>
  </sheetViews>
  <sheetFormatPr defaultRowHeight="13.5"/>
  <cols>
    <col min="1" max="1" width="24" customWidth="1"/>
    <col min="2" max="2" width="12" customWidth="1"/>
    <col min="3" max="3" width="14" customWidth="1"/>
    <col min="4" max="4" width="15" customWidth="1"/>
    <col min="5" max="5" width="31" customWidth="1"/>
    <col min="6" max="6" width="13" customWidth="1"/>
    <col min="7" max="7" width="38" customWidth="1"/>
    <col min="8" max="8" width="18" customWidth="1"/>
  </cols>
  <sheetData>
    <row r="1" spans="1:8" ht="28.05" customHeight="1">
      <c r="A1" s="7" t="s">
        <v>494</v>
      </c>
      <c r="B1" s="7" t="s">
        <v>494</v>
      </c>
      <c r="C1" s="7" t="s">
        <v>494</v>
      </c>
      <c r="D1" s="7" t="s">
        <v>494</v>
      </c>
      <c r="E1" s="7" t="s">
        <v>494</v>
      </c>
      <c r="F1" s="7" t="s">
        <v>494</v>
      </c>
      <c r="G1" s="7" t="s">
        <v>494</v>
      </c>
      <c r="H1" s="7" t="s">
        <v>494</v>
      </c>
    </row>
    <row r="2" spans="1:8" ht="26" customHeight="1">
      <c r="A2" s="8" t="s">
        <v>495</v>
      </c>
      <c r="B2" s="8" t="s">
        <v>495</v>
      </c>
      <c r="C2" s="8" t="s">
        <v>495</v>
      </c>
      <c r="D2" s="8" t="s">
        <v>495</v>
      </c>
      <c r="E2" s="8" t="s">
        <v>495</v>
      </c>
      <c r="F2" s="8" t="s">
        <v>495</v>
      </c>
      <c r="G2" s="8" t="s">
        <v>495</v>
      </c>
      <c r="H2" s="8" t="s">
        <v>495</v>
      </c>
    </row>
    <row r="3" spans="1:8" ht="14.25">
      <c r="A3" s="1"/>
      <c r="B3" s="1"/>
      <c r="C3" s="1"/>
      <c r="D3" s="1"/>
      <c r="E3" s="1"/>
      <c r="F3" s="1"/>
      <c r="G3" s="1"/>
      <c r="H3" s="1"/>
    </row>
    <row r="4" spans="1:8" ht="14.65">
      <c r="A4" s="5" t="s">
        <v>496</v>
      </c>
      <c r="B4" s="5" t="s">
        <v>497</v>
      </c>
      <c r="C4" s="5" t="s">
        <v>498</v>
      </c>
      <c r="D4" s="5" t="s">
        <v>499</v>
      </c>
      <c r="E4" s="5" t="s">
        <v>500</v>
      </c>
      <c r="F4" s="5" t="s">
        <v>47</v>
      </c>
      <c r="G4" s="5" t="s">
        <v>501</v>
      </c>
      <c r="H4" s="5" t="s">
        <v>502</v>
      </c>
    </row>
    <row r="5" spans="1:8" ht="38" customHeight="1">
      <c r="A5" s="2" t="s">
        <v>215</v>
      </c>
      <c r="B5" s="2" t="s">
        <v>503</v>
      </c>
      <c r="C5" s="2" t="s">
        <v>504</v>
      </c>
      <c r="D5" s="2" t="s">
        <v>48</v>
      </c>
      <c r="E5" s="2" t="s">
        <v>50</v>
      </c>
      <c r="F5" s="2" t="s">
        <v>58</v>
      </c>
      <c r="G5" s="2" t="s">
        <v>505</v>
      </c>
      <c r="H5" s="2" t="s">
        <v>55</v>
      </c>
    </row>
    <row r="6" spans="1:8" ht="38" customHeight="1">
      <c r="A6" s="2" t="s">
        <v>506</v>
      </c>
      <c r="B6" s="2" t="s">
        <v>507</v>
      </c>
      <c r="C6" s="2" t="s">
        <v>508</v>
      </c>
      <c r="D6" s="2" t="s">
        <v>59</v>
      </c>
      <c r="E6" s="2" t="s">
        <v>60</v>
      </c>
      <c r="F6" s="2" t="s">
        <v>58</v>
      </c>
      <c r="G6" s="2" t="s">
        <v>509</v>
      </c>
      <c r="H6" s="2" t="s">
        <v>55</v>
      </c>
    </row>
    <row r="7" spans="1:8" ht="38" customHeight="1">
      <c r="A7" s="2" t="s">
        <v>510</v>
      </c>
      <c r="B7" s="2" t="s">
        <v>507</v>
      </c>
      <c r="C7" s="2" t="s">
        <v>511</v>
      </c>
      <c r="D7" s="2" t="s">
        <v>65</v>
      </c>
      <c r="E7" s="2" t="s">
        <v>66</v>
      </c>
      <c r="F7" s="2" t="s">
        <v>72</v>
      </c>
      <c r="G7" s="2" t="s">
        <v>512</v>
      </c>
      <c r="H7" s="2" t="s">
        <v>55</v>
      </c>
    </row>
    <row r="8" spans="1:8" ht="38" customHeight="1">
      <c r="A8" s="2" t="s">
        <v>513</v>
      </c>
      <c r="B8" s="2" t="s">
        <v>507</v>
      </c>
      <c r="C8" s="2" t="s">
        <v>504</v>
      </c>
      <c r="D8" s="2" t="s">
        <v>73</v>
      </c>
      <c r="E8" s="2" t="s">
        <v>74</v>
      </c>
      <c r="F8" s="2" t="s">
        <v>72</v>
      </c>
      <c r="G8" s="2" t="s">
        <v>514</v>
      </c>
      <c r="H8" s="2" t="s">
        <v>55</v>
      </c>
    </row>
    <row r="9" spans="1:8" ht="38" customHeight="1">
      <c r="A9" s="2" t="s">
        <v>515</v>
      </c>
      <c r="B9" s="2" t="s">
        <v>507</v>
      </c>
      <c r="C9" s="2" t="s">
        <v>516</v>
      </c>
      <c r="D9" s="2" t="s">
        <v>77</v>
      </c>
      <c r="E9" s="2" t="s">
        <v>78</v>
      </c>
      <c r="F9" s="2" t="s">
        <v>72</v>
      </c>
      <c r="G9" s="2" t="s">
        <v>517</v>
      </c>
      <c r="H9" s="2" t="s">
        <v>55</v>
      </c>
    </row>
    <row r="10" spans="1:8" ht="38" customHeight="1">
      <c r="A10" s="2" t="s">
        <v>518</v>
      </c>
      <c r="B10" s="2" t="s">
        <v>519</v>
      </c>
      <c r="C10" s="2" t="s">
        <v>520</v>
      </c>
      <c r="D10" s="2" t="s">
        <v>83</v>
      </c>
      <c r="E10" s="2" t="s">
        <v>85</v>
      </c>
      <c r="F10" s="2" t="s">
        <v>58</v>
      </c>
      <c r="G10" s="2" t="s">
        <v>521</v>
      </c>
      <c r="H10" s="2" t="s">
        <v>55</v>
      </c>
    </row>
    <row r="11" spans="1:8" ht="38" customHeight="1">
      <c r="A11" s="2" t="s">
        <v>522</v>
      </c>
      <c r="B11" s="2" t="s">
        <v>519</v>
      </c>
      <c r="C11" s="2" t="s">
        <v>523</v>
      </c>
      <c r="D11" s="2" t="s">
        <v>524</v>
      </c>
      <c r="E11" s="2" t="s">
        <v>525</v>
      </c>
      <c r="F11" s="2" t="s">
        <v>58</v>
      </c>
      <c r="G11" s="2" t="s">
        <v>526</v>
      </c>
      <c r="H11" s="2" t="s">
        <v>55</v>
      </c>
    </row>
    <row r="12" spans="1:8" ht="38" customHeight="1">
      <c r="A12" s="2" t="s">
        <v>527</v>
      </c>
      <c r="B12" s="2" t="s">
        <v>528</v>
      </c>
      <c r="C12" s="2" t="s">
        <v>529</v>
      </c>
      <c r="D12" s="2" t="s">
        <v>530</v>
      </c>
      <c r="E12" s="2" t="s">
        <v>531</v>
      </c>
      <c r="F12" s="2" t="s">
        <v>532</v>
      </c>
      <c r="G12" s="2" t="s">
        <v>533</v>
      </c>
      <c r="H12" s="2" t="s">
        <v>534</v>
      </c>
    </row>
    <row r="13" spans="1:8" ht="38" customHeight="1">
      <c r="A13" s="2" t="s">
        <v>535</v>
      </c>
      <c r="B13" s="2" t="s">
        <v>528</v>
      </c>
      <c r="C13" s="2" t="s">
        <v>504</v>
      </c>
      <c r="D13" s="2" t="s">
        <v>147</v>
      </c>
      <c r="E13" s="2" t="s">
        <v>148</v>
      </c>
      <c r="F13" s="2" t="s">
        <v>58</v>
      </c>
      <c r="G13" s="2" t="s">
        <v>536</v>
      </c>
      <c r="H13" s="2" t="s">
        <v>55</v>
      </c>
    </row>
    <row r="14" spans="1:8" ht="38" customHeight="1">
      <c r="A14" s="2" t="s">
        <v>537</v>
      </c>
      <c r="B14" s="2" t="s">
        <v>528</v>
      </c>
      <c r="C14" s="2" t="s">
        <v>538</v>
      </c>
      <c r="D14" s="2" t="s">
        <v>140</v>
      </c>
      <c r="E14" s="2" t="s">
        <v>142</v>
      </c>
      <c r="F14" s="2" t="s">
        <v>58</v>
      </c>
      <c r="G14" s="2" t="s">
        <v>539</v>
      </c>
      <c r="H14" s="2" t="s">
        <v>117</v>
      </c>
    </row>
    <row r="15" spans="1:8" ht="38" customHeight="1">
      <c r="A15" s="2" t="s">
        <v>540</v>
      </c>
      <c r="B15" s="2" t="s">
        <v>541</v>
      </c>
      <c r="C15" s="2" t="s">
        <v>542</v>
      </c>
      <c r="D15" s="2" t="s">
        <v>543</v>
      </c>
      <c r="E15" s="2" t="s">
        <v>544</v>
      </c>
      <c r="F15" s="2" t="s">
        <v>72</v>
      </c>
      <c r="G15" s="2" t="s">
        <v>545</v>
      </c>
      <c r="H15" s="2" t="s">
        <v>117</v>
      </c>
    </row>
    <row r="16" spans="1:8" ht="38" customHeight="1">
      <c r="A16" s="2" t="s">
        <v>546</v>
      </c>
      <c r="B16" s="2" t="s">
        <v>541</v>
      </c>
      <c r="C16" s="2" t="s">
        <v>504</v>
      </c>
      <c r="D16" s="2" t="s">
        <v>120</v>
      </c>
      <c r="E16" s="2" t="s">
        <v>121</v>
      </c>
      <c r="F16" s="2" t="s">
        <v>72</v>
      </c>
      <c r="G16" s="2" t="s">
        <v>547</v>
      </c>
      <c r="H16" s="2" t="s">
        <v>117</v>
      </c>
    </row>
    <row r="17" spans="1:8" ht="38" customHeight="1">
      <c r="A17" s="2" t="s">
        <v>548</v>
      </c>
      <c r="B17" s="2" t="s">
        <v>541</v>
      </c>
      <c r="C17" s="2" t="s">
        <v>549</v>
      </c>
      <c r="D17" s="2" t="s">
        <v>125</v>
      </c>
      <c r="E17" s="2" t="s">
        <v>126</v>
      </c>
      <c r="F17" s="2" t="s">
        <v>58</v>
      </c>
      <c r="G17" s="2" t="s">
        <v>550</v>
      </c>
      <c r="H17" s="2" t="s">
        <v>55</v>
      </c>
    </row>
    <row r="18" spans="1:8" ht="38" customHeight="1">
      <c r="A18" s="2" t="s">
        <v>551</v>
      </c>
      <c r="B18" s="2" t="s">
        <v>552</v>
      </c>
      <c r="C18" s="2" t="s">
        <v>523</v>
      </c>
      <c r="D18" s="2" t="s">
        <v>553</v>
      </c>
      <c r="E18" s="2" t="s">
        <v>554</v>
      </c>
      <c r="F18" s="2" t="s">
        <v>58</v>
      </c>
      <c r="G18" s="2" t="s">
        <v>555</v>
      </c>
      <c r="H18" s="2" t="s">
        <v>55</v>
      </c>
    </row>
    <row r="19" spans="1:8" ht="38" customHeight="1">
      <c r="A19" s="2" t="s">
        <v>556</v>
      </c>
      <c r="B19" s="2" t="s">
        <v>552</v>
      </c>
      <c r="C19" s="2" t="s">
        <v>193</v>
      </c>
      <c r="D19" s="2" t="s">
        <v>201</v>
      </c>
      <c r="E19" s="2" t="s">
        <v>202</v>
      </c>
      <c r="F19" s="2" t="s">
        <v>196</v>
      </c>
      <c r="G19" s="2" t="s">
        <v>557</v>
      </c>
      <c r="H19" s="2" t="s">
        <v>558</v>
      </c>
    </row>
    <row r="20" spans="1:8" ht="38" customHeight="1">
      <c r="A20" s="2" t="s">
        <v>559</v>
      </c>
      <c r="B20" s="2" t="s">
        <v>552</v>
      </c>
      <c r="C20" s="2" t="s">
        <v>504</v>
      </c>
      <c r="D20" s="2" t="s">
        <v>136</v>
      </c>
      <c r="E20" s="2" t="s">
        <v>137</v>
      </c>
      <c r="F20" s="2" t="s">
        <v>58</v>
      </c>
      <c r="G20" s="2" t="s">
        <v>560</v>
      </c>
      <c r="H20" s="2" t="s">
        <v>55</v>
      </c>
    </row>
    <row r="21" spans="1:8" ht="38" customHeight="1">
      <c r="A21" s="2" t="s">
        <v>561</v>
      </c>
      <c r="B21" s="2" t="s">
        <v>562</v>
      </c>
      <c r="C21" s="2" t="s">
        <v>563</v>
      </c>
      <c r="D21" s="2" t="s">
        <v>564</v>
      </c>
      <c r="E21" s="2" t="s">
        <v>565</v>
      </c>
      <c r="F21" s="2" t="s">
        <v>566</v>
      </c>
      <c r="G21" s="2" t="s">
        <v>567</v>
      </c>
      <c r="H21" s="2" t="s">
        <v>55</v>
      </c>
    </row>
  </sheetData>
  <mergeCells count="2">
    <mergeCell ref="A1:H1"/>
    <mergeCell ref="A2:H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使用说明</vt:lpstr>
      <vt:lpstr>指标体系_调整后</vt:lpstr>
      <vt:lpstr>百济神州参数样本</vt:lpstr>
      <vt:lpstr>来源与证据</vt:lpstr>
      <vt:lpstr>覆盖率统计</vt:lpstr>
      <vt:lpstr>评分规则</vt:lpstr>
      <vt:lpstr>指标变更映射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Qian Qian</cp:lastModifiedBy>
  <dcterms:modified xsi:type="dcterms:W3CDTF">2026-08-18T02:19:54Z</dcterms:modified>
</cp:coreProperties>
</file>